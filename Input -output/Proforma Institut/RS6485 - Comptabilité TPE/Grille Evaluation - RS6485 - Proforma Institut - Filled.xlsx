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windows 10\Downloads\"/>
    </mc:Choice>
  </mc:AlternateContent>
  <xr:revisionPtr revIDLastSave="0" documentId="13_ncr:1_{BDAF6F50-B4F3-442C-B0F3-A825DDDB0E2E}" xr6:coauthVersionLast="47" xr6:coauthVersionMax="47" xr10:uidLastSave="{00000000-0000-0000-0000-000000000000}"/>
  <bookViews>
    <workbookView xWindow="-120" yWindow="-120" windowWidth="20730" windowHeight="11160" activeTab="1" xr2:uid="{00000000-000D-0000-FFFF-FFFF00000000}"/>
  </bookViews>
  <sheets>
    <sheet name="Ordre de passage" sheetId="1" r:id="rId1"/>
    <sheet name="Participant 1" sheetId="2" r:id="rId2"/>
    <sheet name="Participant 2" sheetId="3" r:id="rId3"/>
    <sheet name="Participant 3" sheetId="4" r:id="rId4"/>
    <sheet name="Participant 4" sheetId="5" r:id="rId5"/>
    <sheet name="Participant 5" sheetId="6" r:id="rId6"/>
    <sheet name="Feuil1" sheetId="7" state="hidden" r:id="rId7"/>
  </sheets>
  <calcPr calcId="181029"/>
</workbook>
</file>

<file path=xl/calcChain.xml><?xml version="1.0" encoding="utf-8"?>
<calcChain xmlns="http://schemas.openxmlformats.org/spreadsheetml/2006/main">
  <c r="J22" i="6" l="1"/>
  <c r="F19" i="6"/>
  <c r="D19" i="6"/>
  <c r="B19" i="6"/>
  <c r="F16" i="6"/>
  <c r="K15" i="6"/>
  <c r="I15" i="6"/>
  <c r="G15" i="6"/>
  <c r="F15" i="6"/>
  <c r="D5" i="6"/>
  <c r="D4" i="6"/>
  <c r="H3" i="6"/>
  <c r="D3" i="6"/>
  <c r="J22" i="5"/>
  <c r="F19" i="5"/>
  <c r="D19" i="5"/>
  <c r="B19" i="5"/>
  <c r="F16" i="5"/>
  <c r="K15" i="5"/>
  <c r="I15" i="5"/>
  <c r="G15" i="5"/>
  <c r="F15" i="5"/>
  <c r="D5" i="5"/>
  <c r="D4" i="5"/>
  <c r="H3" i="5"/>
  <c r="D3" i="5"/>
  <c r="J22" i="4"/>
  <c r="F19" i="4"/>
  <c r="D19" i="4"/>
  <c r="B19" i="4"/>
  <c r="K15" i="4"/>
  <c r="I15" i="4"/>
  <c r="G15" i="4"/>
  <c r="F16" i="4" s="1"/>
  <c r="E11" i="1" s="1"/>
  <c r="F15" i="4"/>
  <c r="D5" i="4"/>
  <c r="D4" i="4"/>
  <c r="H3" i="4"/>
  <c r="D3" i="4"/>
  <c r="J22" i="3"/>
  <c r="F19" i="3"/>
  <c r="D19" i="3"/>
  <c r="B19" i="3"/>
  <c r="K15" i="3"/>
  <c r="I15" i="3"/>
  <c r="G15" i="3"/>
  <c r="F16" i="3" s="1"/>
  <c r="E10" i="1" s="1"/>
  <c r="F15" i="3"/>
  <c r="D5" i="3"/>
  <c r="D4" i="3"/>
  <c r="H3" i="3"/>
  <c r="D3" i="3"/>
  <c r="J22" i="2"/>
  <c r="F19" i="2"/>
  <c r="D19" i="2"/>
  <c r="B19" i="2"/>
  <c r="I15" i="2"/>
  <c r="G15" i="2"/>
  <c r="F16" i="2" s="1"/>
  <c r="E9" i="1" s="1"/>
  <c r="F15" i="2"/>
  <c r="D5" i="2"/>
  <c r="D4" i="2"/>
  <c r="H3" i="2"/>
  <c r="D3" i="2"/>
  <c r="E13" i="1"/>
  <c r="E12" i="1"/>
</calcChain>
</file>

<file path=xl/sharedStrings.xml><?xml version="1.0" encoding="utf-8"?>
<sst xmlns="http://schemas.openxmlformats.org/spreadsheetml/2006/main" count="515" uniqueCount="297">
  <si>
    <t>Grille d'évaluation - "Réaliser les opération courantes d'une TPE" - RS6485</t>
  </si>
  <si>
    <t>Nom et prénom évaluateur</t>
  </si>
  <si>
    <t>Tom FOURNAISE</t>
  </si>
  <si>
    <t>Djody BENCHADI</t>
  </si>
  <si>
    <t>Date du Jury</t>
  </si>
  <si>
    <t>Renseigner selon l'ordre de passage, ainsi le nom et prénom est renseigné dans chaque feuille</t>
  </si>
  <si>
    <t>Remplir les cellules jaunes ainsi que les deux cellules grises ci-dessus (évaluateur et date)</t>
  </si>
  <si>
    <t>NB</t>
  </si>
  <si>
    <t>Heure de passage</t>
  </si>
  <si>
    <t>NOM</t>
  </si>
  <si>
    <t>Prénom</t>
  </si>
  <si>
    <t>Note finale / 20</t>
  </si>
  <si>
    <t>Commentaires évaluateur 1</t>
  </si>
  <si>
    <t>Commentaires évaluateur 2</t>
  </si>
  <si>
    <t>Commentaires évaluateur 3</t>
  </si>
  <si>
    <t>09:00 - 10:00</t>
  </si>
  <si>
    <t>AHAMADA BOURHANE</t>
  </si>
  <si>
    <t>Soilihihe</t>
  </si>
  <si>
    <t>Projet de sous-traitance BTP bien structuré, s'appuyant sur une double compétence levage/coffrage valorisée avec pertinence. Les indicateurs de pilotage sont cohérents avec l'activité. La maîtrise des spécificités réglementaires (autoliquidation TVA, VGP) est un point fort. Des efforts attendus sur la conformité de la facturation et l'approfondissement du processus de recouvrement.</t>
  </si>
  <si>
    <t>Dossier financier globalement maîtrisé. Le calcul du BFR est correctement évalué au regard des délais de paiement. Le modèle économique est viable. Des marges de progression identifiées sur la valorisation des stocks et le pilotage de la marge brute en temps réel.</t>
  </si>
  <si>
    <t>10:30 - 11:30</t>
  </si>
  <si>
    <t xml:space="preserve">BENGUEDIH </t>
  </si>
  <si>
    <t>Kader</t>
  </si>
  <si>
    <t>Projet de mobilité VTC avec un positionnement premium cohérent. Les outils numériques retenus sont adaptés. Des lacunes significatives sur la conformité de la facturation et la robustesse du BFR initial. L'analyse financière manque de profondeur sur certains points clés attendus d'un dirigeant de TPE.</t>
  </si>
  <si>
    <t>Le suivi de la flotte et la gestion des charges fixes sont présents. Le prévisionnel financier est atteignable mais le BFR semble sous-estimé. Des efforts sont attendus sur la rigueur documentaire de la facturation et la complétude du processus de recouvrement B2B.</t>
  </si>
  <si>
    <t>12:00 - 13:00</t>
  </si>
  <si>
    <t>DELGADO DA CRUZ</t>
  </si>
  <si>
    <t xml:space="preserve"> Francisco</t>
  </si>
  <si>
    <t>Dossier solide porté par 20 ans d'expérience terrain. L'organisation administrative est bien pensée. Des améliorations à apporter sur la conformité de la facturation et la capacité à projeter et défendre les hypothèses financières à moyen terme lors de la soutenance.</t>
  </si>
  <si>
    <t>Les équilibres financiers sont réalistes. La progression du CA sur trois mois réels est encourageante. Des efforts de formalisation supplémentaires sont attendus sur la maîtrise des documents comptables et l'approfondissement de l'analyse des écarts par rapport au prévisionnel.</t>
  </si>
  <si>
    <t>13:30 - 14:30</t>
  </si>
  <si>
    <t>DOUMENC</t>
  </si>
  <si>
    <t>Christophe</t>
  </si>
  <si>
    <t>Excellente soutenance portée par 16 ans d'expertise et une posture de chef d'entreprise affirmée. Maîtrise des spécificités de la sous-traitance. Le principal point d'amélioration porte sur la conformité complète de la facturation, indispensable pour les relations avec les grands donneurs d'ordres.</t>
  </si>
  <si>
    <t>Le candidat démontre une parfaite compréhension de la sous-traitance et du mécanisme d'autoliquidation de la TVA. Le BFR est provisionné avec prudence. La rigueur documentaire de la facturation doit être renforcée pour être irréprochable face aux exigences des majors du BTP.</t>
  </si>
  <si>
    <t>15:00 - 16:00</t>
  </si>
  <si>
    <t>ROCHE</t>
  </si>
  <si>
    <t>Frederic</t>
  </si>
  <si>
    <t>Soutenance de très haut niveau alliant expertise technique et maîtrise financière. L'écosystème numérique est parfaitement intégré. La rigueur dans l'analyse des écarts est exemplaire. Seul point à corriger : la complétude des mentions légales de facturation, avant toute mise en activité.</t>
  </si>
  <si>
    <t>L'analyse de la marge brute et les tableaux de bord sont d'une précision remarquable. Les écarts sur achats de matériaux sont parfaitement justifiés. La qualité du prévisionnel et la cohérence globale du dossier témoignent d'une préparation sérieuse et d'une maturité financière réelle.</t>
  </si>
  <si>
    <t>Grille d'évaluation</t>
  </si>
  <si>
    <t>"Réaliser les opération courantes d'une TPE" - RS6485</t>
  </si>
  <si>
    <t>Nom du candidat :</t>
  </si>
  <si>
    <t>Date :</t>
  </si>
  <si>
    <t>Important : renseigner les cellules de couleurs grises</t>
  </si>
  <si>
    <t>Prénom du candidat :</t>
  </si>
  <si>
    <t>Commentaire obligatoire pour les critères que le candidat ne valide pas</t>
  </si>
  <si>
    <t>Heure de passage :</t>
  </si>
  <si>
    <t>Compétences</t>
  </si>
  <si>
    <t>Critères</t>
  </si>
  <si>
    <t>Pts Max.</t>
  </si>
  <si>
    <t>Note Jury 1</t>
  </si>
  <si>
    <t>Commentaires Jury 1</t>
  </si>
  <si>
    <t>Note Jury 2</t>
  </si>
  <si>
    <t>Commentaires Jury 2</t>
  </si>
  <si>
    <t>Note Jury 3</t>
  </si>
  <si>
    <t>Commentaires Jury 3</t>
  </si>
  <si>
    <t>C1</t>
  </si>
  <si>
    <t>Mettre en place l’organisation comptable de l’entreprise en déterminant les indicateurs de contrôle (chiffre d’affaires, état de trésorerie, rentabilité, tableaux de bord) afin de piloter la gestion quotidienne comptable.</t>
  </si>
  <si>
    <t>Cr1. Le candidat démontre une organisation claire et concise. Il choisit des indicateurs cohérents selon son secteur d’activité et son projet professionnel.</t>
  </si>
  <si>
    <t>Le tableau de bord présenté s'appuie sur des indicateurs métier pertinents (CA HT, taux de marge, jours de production). L'intégration de Batappli comme outil de pilotage est cohérente avec l'activité BTP. L'organisation administrative en trois étapes est structurée. Il conviendrait toutefois de préciser les fréquences de mise à jour des indicateurs pour garantir un pilotage réellement opérationnel.</t>
  </si>
  <si>
    <t>L'organisation comptable repose sur des outils adaptés et une logique de suivi régulière. Les indicateurs retenus couvrent les dimensions essentielles de l'activité. Cependant, l'indicateur de taux de reprises, bien qu'excellent (0 %), mériterait d'être davantage mis en valeur comme levier de rentabilité dans la soutenance.</t>
  </si>
  <si>
    <t>C2</t>
  </si>
  <si>
    <t>Etablir un plan financier prévisionnel en calculant les recettes et dépenses de la TPE en lien avec l’activité réelle et souhaitée, en évaluant les éventuels besoins en fonds de roulement afin d’assurer une gestion maîtrisée de la trésorerie.</t>
  </si>
  <si>
    <t>Cr2. Le candidat fait apparaitre correctement les différents calculs des recettes et dépenses. Il met en avant les besoins en fonds de roulement de son activité.</t>
  </si>
  <si>
    <t>Les hypothèses de CA sur trois ans (168 400 € → 221 900 €) sont progressives et cohérentes. Le calcul du BFR à 11 600 € en N1 intègre correctement les délais clients et fournisseurs. Il manque cependant une analyse de sensibilité sur un scénario défavorable, qui renforcerait la solidité du dossier.</t>
  </si>
  <si>
    <t>La trésorerie nette positive dès N1 (+13 400 €) témoigne d'un dimensionnement réaliste. Le modèle FR/BFR est globalement maîtrisé. Un effort de formalisation sur les hypothèses de charges variables permettrait de renforcer la crédibilité du prévisionnel.</t>
  </si>
  <si>
    <t>C3</t>
  </si>
  <si>
    <t>Traiter les opérations comptables courantes (factures clients, factures fournisseurs, salaires, charges, frais, éléments banque...), en sécurisant les actions par les différentes tâches de contrôle (rapprochement bancaire...) pour répondre aux obligations de déclarations (TVA...).</t>
  </si>
  <si>
    <t>Cr3. Le candidat réalise des documents conformes aux législations financières et à la mesure de son activité.</t>
  </si>
  <si>
    <t>La facture intègre les mentions spécifiques au BTP sous-traitant : autoliquidation de la TVA (Art. 283-2 nonies du CGI), numéro de police RC Pro et décennale. C'est une maîtrise réglementaire notable. Veiller à ce que le numéro séquentiel de facturation soit rigoureusement respecté pour éviter tout litige fiscal.</t>
  </si>
  <si>
    <t>Les mentions légales obligatoires sont globalement présentes. La distinction entre facturation HT en sous-traitance et application de la TVA pour les clients particuliers devrait être davantage explicitée pour démontrer la maîtrise complète des deux cas de figure.</t>
  </si>
  <si>
    <t>C4</t>
  </si>
  <si>
    <t>Appliquer les processus liés aux opérations particulières de gestion en lien avec les clients (impayés, méthodologie de recouvrement...) en respectant les règles législatives afin de gérer, en toute conformité, les évènements de la vie de l’entreprise.</t>
  </si>
  <si>
    <t>Cr4. Le processus proposé par le candidat est formalisé avec des étapes palliatives permettant d’atteindre le résultat attendu.</t>
  </si>
  <si>
    <t>Le processus de recouvrement en quatre étapes (J+2 à J+45) est formalisé et progressif. Cependant, le délai avant mise en demeure (J+20) paraît long dans un contexte de sous-traitance BTP où les délais légaux sont de 30 jours. Une révision de ce calendrier s'impose.</t>
  </si>
  <si>
    <t>La procédure d'injonction de payer est identifiée comme recours ultime. Le candidat gagnerait à préciser explicitement les montants des pénalités applicables et la condition de suspension des travaux, qui constituent des leviers de pression essentiels non suffisamment mis en avant.</t>
  </si>
  <si>
    <t>C5</t>
  </si>
  <si>
    <t>Gérer les stocks et/ ou offres de services afin de piloter et d’optimiser les ressources mobilisables tout en évitant les ruptures de stocks ou les retards de délais de livraison.</t>
  </si>
  <si>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</si>
  <si>
    <t>Le tableau de gestion des stocks couvre les matériaux essentiels. L'alerte sur les élingues de levage démontre une vigilance sur les obligations de vérification périodique. Il manque une valorisation financière des stocks pour l'intégrer au calcul du BFR de façon dynamique.</t>
  </si>
  <si>
    <t>Le suivi des EPI est rigoureux. Cependant, l'absence d'un stock tampon sur les élingues représente un risque opérationnel réel en cas de retard fournisseur. Ce point devrait faire l'objet d'une action corrective explicite dans le dossier.</t>
  </si>
  <si>
    <t>C6</t>
  </si>
  <si>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</si>
  <si>
    <t>Cr6. Le tableau de supervision des opérations courantes permet d’identifier les anomalies dans la gestion et de prévoir les actions correctives de façon anticipée.</t>
  </si>
  <si>
    <t>L'analyse des écarts du mois 1 identifie correctement le dépassement sur le poste carburant et propose une action corrective concrète. Il serait pertinent d'intégrer un suivi cumulé sur plusieurs mois pour détecter les tendances de fond et anticiper les dérives.</t>
  </si>
  <si>
    <t>Le tableau des écarts est lisible et opérationnel. Néanmoins, l'absence d'un indicateur de suivi de la marge brute réelle versus prévisionnelle constitue une lacune : c'est l'indicateur central de la rentabilité d'une TPE de sous-traitance BTP.</t>
  </si>
  <si>
    <t>C7</t>
  </si>
  <si>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</si>
  <si>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</si>
  <si>
    <t>La soutenance est structurée et le candidat démontre une maîtrise convaincante de son projet. La double compétence levage/coffrage est bien valorisée. Pour progresser vers l'excellence, le candidat devrait approfondir l'analyse des tendances sur les mois réels présentés et en tirer des conclusions prospectives explicites.</t>
  </si>
  <si>
    <t>La lecture des documents financiers est globalement satisfaisante. Des marges de progression existent sur la capacité à relier les résultats comptables à des décisions de gestion concrètes (quand investir, quand recruter). Ces interactions doivent figurer dans le discours du dirigeant.</t>
  </si>
  <si>
    <t>C8</t>
  </si>
  <si>
    <t>QCM portant sur les connaissances théoriques de la gestion des opérations comptables courantes d’une TPE.</t>
  </si>
  <si>
    <t>Cr8. Si le score obtenu est de +70%, les 3 points sont attribués</t>
  </si>
  <si>
    <t>Le QCM est validé avec un score satisfaisant. Les connaissances théoriques sur les opérations comptables courantes d'une TPE sont acquises.</t>
  </si>
  <si>
    <t>Les notions théoriques sont maîtrisées. Le résultat du QCM confirme une bonne assimilation des fondamentaux de la gestion comptable d'une TPE.</t>
  </si>
  <si>
    <t>TOTAL  (note sur 60)</t>
  </si>
  <si>
    <t>L’obtention d’une note minimale de 10/20 permet la validation du parcours
(attention, la moyenne est calculée pour 3 jurés, à changer si uniquement 2 membres)</t>
  </si>
  <si>
    <t>Note finale</t>
  </si>
  <si>
    <t>Appréciation générale Jury 1</t>
  </si>
  <si>
    <t>Appréciation générale Jury 2</t>
  </si>
  <si>
    <t>Appréciation générale Jury 3</t>
  </si>
  <si>
    <t>Date et signature des évaluateurs</t>
  </si>
  <si>
    <t>Soutenance sérieuse et bien préparée. M. Ahamada présente un projet crédible, ancré dans une réalité terrain solide (8 ans d'expérience, CACES R487). La maîtrise des outils numériques et des spécificités réglementaires BTP est un point fort indéniable. Des efforts sur l'analyse de sensibilité du prévisionnel et le calendrier de recouvrement permettraient d'atteindre l'excellence. Admis.</t>
  </si>
  <si>
    <t>Dossier structuré et cohérent avec l'activité de sous-traitance BTP. Le candidat maîtrise les équilibres financiers de base et comprend les enjeux du BFR dans son secteur. Quelques points techniques restent à consolider, notamment la valorisation des stocks et le pilotage de la marge brute en temps réel. Admis.</t>
  </si>
  <si>
    <t>Le projet VTC haut de gamme repose sur des indicateurs adaptés. L'outil Way-Plan est pertinent pour centraliser les réservations. Cependant, l'indicateur de taux de remplissage kilométrique n'est pas relié à un objectif de rentabilité chiffré dans la soutenance. Ce lien est indispensable pour démontrer la maîtrise du pilotage de l'activité.</t>
  </si>
  <si>
    <t>L'utilisation de Pennylane pour centraliser la comptabilité est cohérente. Il manque toutefois un indicateur de coût d'acquisition client B2B, qui constitue un poste stratégique dans un modèle dépendant des hôtels et entreprises. Cet angle mort doit être comblé pour valider la complétude du tableau de bord.</t>
  </si>
  <si>
    <t>Le prévisionnel de CA est atteignable. Néanmoins, le BFR apparaît sous-estimé : les créances hôtelières à 30 jours génèrent un décalage de trésorerie non négligeable. La trésorerie initiale négative expose la TPE à un risque réel si l'emprunt n'est pas obtenu dans les délais. Ce point aurait dû être davantage développé et chiffré.</t>
  </si>
  <si>
    <t>La structure du FR/BFR est présente. Cependant, la fragilité du fonds de roulement initial, liée au poids de l'immobilisation du van, n'est pas suffisamment analysée. Le candidat doit démontrer sa capacité à gérer cette contrainte de trésorerie dès le démarrage, notamment en identifiant des solutions alternatives (crédit-bail, location longue durée).</t>
  </si>
  <si>
    <t>La facture présente des éléments de détail corrects. Cependant, le bloc d'identification de l'entreprise prestataire est absent : SIRET, forme juridique, numéro de TVA et coordonnées complètes sont des mentions obligatoires. Sans ces éléments, le document est sans valeur juridique. Cette lacune doit être corrigée impérativement avant toute émission réelle.</t>
  </si>
  <si>
    <t>Le calcul de la TVA à 10 % est correct. Néanmoins, l'absence des mentions légales d'identification de l'émetteur rend ce document non conforme. La facturation est la première ligne de défense contre les impayés et doit être irréprochable dès le premier jour d'activité. Il n'est pas acceptable de présenter ce type de document en évaluation sans les mentions obligatoires.</t>
  </si>
  <si>
    <t>Le processus de recouvrement est réactif. La suspension des nouvelles courses à J+15 est un levier pertinent. Il manque cependant une mention explicite du calcul des pénalités de retard et de l'indemnité forfaitaire de 40 €, pourtant obligatoires et attendus dans ce type de dossier.</t>
  </si>
  <si>
    <t>La gradation du processus est cohérente. Cependant, le candidat n'aborde pas la nécessité d'un contrat écrit avec les hôtels partenaires, qui constitue le premier niveau de protection contre les impayés. Cette dimension contractuelle aurait dû figurer dans la soutenance pour démontrer une vision complète de la gestion des risques clients.</t>
  </si>
  <si>
    <t>La gestion logistique du véhicule est sérieuse et les coûts sont budgétés avec réalisme. Il serait néanmoins nécessaire d'intégrer un tableau de suivi formalisé des entrées/sorties de stocks consommables avec des seuils de réapprovisionnement définis pour répondre pleinement aux exigences du critère.</t>
  </si>
  <si>
    <t>Le suivi de l'entretien est rigoureux. Cependant, la notion de gestion des stocks dans un contexte de service nécessite également de couvrir les consommables clients avec des seuils explicites. Ce niveau de détail est attendu et son absence fragilise la démonstration.</t>
  </si>
  <si>
    <t>Le tableau des écarts identifie les principaux postes variables. L'action corrective sur le carburant est pertinente mais insuffisamment chiffrée : quel gain attendu en pourcentage ? Sans cette quantification, l'action corrective reste un vœu pieux et non un plan de pilotage réel.</t>
  </si>
  <si>
    <t>L'absence d'un suivi du CA réel versus prévisionnel dans le tableau des écarts est une lacune majeure. Un dirigeant VTC doit être capable de contrôler, semaine par semaine, si son activité est en ligne avec son plan de charge. Ce niveau de pilotage n'est pas démontré et doit être intégré au dispositif de suivi.</t>
  </si>
  <si>
    <t>Le candidat présente son projet avec conviction. Toutefois, certaines questions financières n'ont pas reçu de réponses suffisamment précises lors de la soutenance. La maîtrise des documents comptables doit dépasser le seul prévisionnel de CA pour couvrir l'ensemble des états financiers du dirigeant de TPE.</t>
  </si>
  <si>
    <t>La compréhension du modèle économique est réelle. Cependant, la capacité à lire et commenter un compte de résultat ou un tableau de trésorerie doit être renforcée. Le candidat doit être en mesure d'anticiper les impacts d'une baisse d'activité sur sa trésorerie et d'expliquer les décisions correctives à prendre.</t>
  </si>
  <si>
    <t>Le QCM est validé. Les connaissances théoriques sur les fondamentaux de la gestion comptable d'une TPE sont acquises.</t>
  </si>
  <si>
    <t>Le résultat du QCM est satisfaisant. Les bases théoriques sont présentes. Leur application concrète dans les situations de gestion présentées doit cependant être plus systématique.</t>
  </si>
  <si>
    <t>Projet de transport VTC premium crédible, porté par une expérience terrain avérée. Les outils numériques choisis sont adaptés. Des lacunes subsistent sur la conformité de la facturation, la robustesse du BFR initial et la profondeur de l'analyse financière. Ces points doivent être travaillés avant la mise en activité pour sécuriser la pérennité de l'entreprise. Admis.</t>
  </si>
  <si>
    <t>Dossier présentant un projet cohérent avec le profil du candidat. La maîtrise opérationnelle est réelle, mais la rigueur administrative et comptable doit être renforcée. Ces compétences sont non négociables pour la survie d'une TPE de service. Des efforts concrets sont attendus. Admis.</t>
  </si>
  <si>
    <t>L'organisation administrative en trois phases est logique et opérationnelle. Les indicateurs retenus couvrent bien les dimensions de pilotage d'une TPE BTP. Il serait attendu que le candidat explique comment ces indicateurs orientent concrètement ses décisions de gestion : c'est ce lien entre mesure et action qui distingue le pilotage de la simple observation.</t>
  </si>
  <si>
    <t>Le choix d'un archivage structuré par type de document est une approche professionnelle. Les indicateurs sélectionnés sont pertinents. Il manque cependant une explication claire sur la fréquence de mise à jour et le processus de révision mensuelle de ces indicateurs pour démontrer leur utilisation active dans le pilotage.</t>
  </si>
  <si>
    <t>Le plan financier sur trois ans affiche une progression ambitieuse (+144 %). Le passage de 14 à 29 chantiers annuels suppose des ressources supplémentaires non prévues dans le prévisionnel. L'absence d'analyse des charges fixes de structure fragilise la projection et doit être comblée pour crédibiliser l'ensemble du modèle.</t>
  </si>
  <si>
    <t>La structure FR/BFR est correctement construite. Cependant, le candidat devrait être en mesure de justifier l'évolution du BFR entre N1 et N3 au regard de la croissance du CA : cette dynamique doit être expliquée et anticipée explicitement, car elle impacte directement les besoins de financement.</t>
  </si>
  <si>
    <t>La facture comporte les éléments de prestation mais plusieurs mentions légales obligatoires sont absentes : numéro de facture séquentiel, date d'émission précise, coordonnées complètes du client, récapitulatif HT/TTC. En l'état, ce document ne satisfait pas aux exigences légales. Ces lacunes doivent être corrigées avant toute émission réelle.</t>
  </si>
  <si>
    <t>La logique de facturation est présente mais une facture sans numéro unique, sans date d'émission et sans identification complète du client est juridiquement invalide. Il est indispensable que le candidat intègre systématiquement ces mentions dans son modèle définitif. Ce niveau d'exigence est non négociable.</t>
  </si>
  <si>
    <t>Le processus de recouvrement est bien adapté à une clientèle mixte. La gradation en quatre étapes est cohérente. Il conviendrait toutefois d'ajouter explicitement la mention du taux de pénalité applicable et la condition de suspension des travaux, qui constitue le levier de pression le plus efficace dans le BTP.</t>
  </si>
  <si>
    <t>La mise en demeure à J+15 est appropriée et l'indemnité forfaitaire de 40 € est identifiée. Pour compléter le processus, le candidat devrait mentionner la nécessité d'un PV de réception signé dès la fin des travaux, document essentiel pour donner une assise juridique solide à toute procédure de recouvrement.</t>
  </si>
  <si>
    <t>Le tableau de gestion des stocks couvre les matériaux essentiels. L'alerte sur le sable est bien identifiée avec une action corrective. Il manque une valorisation financière des stocks pour alimenter le calcul du BFR de façon dynamique et démontrer la maîtrise du lien entre gestion physique et gestion financière.</t>
  </si>
  <si>
    <t>La gestion en flux tendu du béton est pertinente. L'alerte sur le stock de sable est traitée avec réactivité. Il serait attendu que le candidat formalise également un processus de réception et de contrôle qualitatif des matériaux à la livraison, enjeu majeur pour une activité de gros œuvre et pour la protection de la garantie décennale.</t>
  </si>
  <si>
    <t>Le tableau d'écarts identifie correctement les principaux postes variables avec des actions correctives concrètes. La proposition de négocier un contrat-cadre avec le fournisseur acier est une décision de gestion mature. Il serait attendu que le candidat quantifie l'impact de ces actions sur la marge prévisionnelle des mois suivants.</t>
  </si>
  <si>
    <t>L'analyse des écarts est pertinente et orientée action. Il manque cependant une projection de l'impact des mesures correctives sur la rentabilité future. Démontrer que les actions prises permettent d'atteindre les objectifs de marge initialement prévus est la finalité attendue de ce type d'exercice.</t>
  </si>
  <si>
    <t>La soutenance démontre une bonne connaissance du terrain BTP. Pour atteindre un niveau supérieur, le candidat devrait renforcer sa capacité à relier les résultats financiers à des décisions stratégiques et à défendre ses hypothèses face aux questions du jury avec plus d'assurance et de précision.</t>
  </si>
  <si>
    <t>La maîtrise technique du métier transparaît dans les commentaires. Cependant, la lecture des documents financiers doit être plus fluide. Le candidat doit être capable de commenter l'évolution de sa trésorerie nette de N1 à N3 et d'en expliquer les leviers sans hésitation ni approximation.</t>
  </si>
  <si>
    <t>Le QCM est validé avec succès. Les connaissances théoriques sur la gestion des opérations comptables d'une TPE sont acquises et constituent un socle solide.</t>
  </si>
  <si>
    <t>Bonne performance au QCM. Les bases théoriques sont maîtrisées. Il convient maintenant de les ancrer davantage dans la pratique quotidienne de la gestion de l'entreprise pour en tirer tout le bénéfice.</t>
  </si>
  <si>
    <t>Dossier bien construit, porté par 20 ans d'expertise chez Eiffage. Le projet de SASU gros œuvre est réaliste et le positionnement est cohérent. Des marges de progression identifiées sur la conformité de la facturation, la profondeur de l'analyse prévisionnelle et la maîtrise des documents financiers lors de la soutenance. Admis.</t>
  </si>
  <si>
    <t>Projet solide ancré dans une réalité métier convaincante. La compréhension des fondamentaux comptables est présente. Des efforts concrets sont attendus sur la rigueur de la facturation et la capacité à projeter et défendre les hypothèses financières à moyen terme. Admis.</t>
  </si>
  <si>
    <t>L'organisation administrative est rigoureuse et numérique. Les indicateurs retenus sont précisément adaptés à l'activité de grutier sous-traitant (CA HT, jours facturés, frais de déplacement, incidents sécurité). Le zéro incident sécurité sur trois mois est un indicateur non financier à fort impact commercial. Il conviendrait de préciser comment ces indicateurs orientent les décisions commerciales mensuelles.</t>
  </si>
  <si>
    <t>La validation hebdomadaire des bons d'attachement constitue un verrou administratif efficace pour sécuriser les encaissements. Il conviendrait cependant de préciser comment ces indicateurs sont analysés en fin de mois pour ajuster la stratégie commerciale : la démarche de pilotage doit être explicitée, pas seulement les outils.</t>
  </si>
  <si>
    <t>Le prévisionnel de CA sur trois ans est réaliste. Le délai de paiement à 45 jours des majors du BTP est bien identifié et provisionné dans le BFR. La trésorerie nette de +1 900 € en N1 reste cependant très limitée : un impayé d'un client majeur sur 30 jours suffirait à déséquilibrer la trésorerie. Ce risque de concentration devait être traité explicitement.</t>
  </si>
  <si>
    <t>La marge nette élevée liée à la nature de la prestation technique est bien expliquée. Cependant, la dépendance à un nombre limité de clients grands comptes crée un risque de concentration non couvert dans le dossier. La diversification du portefeuille client dès l'année 1 aurait dû figurer comme axe stratégique.</t>
  </si>
  <si>
    <t>La mention d'autoliquidation de TVA est maîtrisée et le relevé des heures attachées est mentionné. Cependant, plusieurs mentions légales obligatoires sont absentes : numéro de TVA intracommunautaire, forme juridique complète, conditions de règlement avec délai et pénalités explicitement indiqués. Ce manque expose l'entreprise à des risques en cas de litige avec les grands donneurs d'ordres.</t>
  </si>
  <si>
    <t>La logique de facturation sous-traitance est présente. Néanmoins, une facture destinée à des majors du BTP doit être irréprochable sur la forme. Toute omission de mention légale peut entraîner un retard de paiement ou un rejet comptable. La rigueur documentaire est aussi importante que la rigueur technique sur chantier.</t>
  </si>
  <si>
    <t>Le processus de recouvrement est bien adapté aux grands donneurs d'ordres BTP. L'arrêt de la grue sur chantier à J+30 est un levier de pression fort et légalement fondé. Le processus est cohérent et opérationnel.</t>
  </si>
  <si>
    <t>La procédure est bien calibrée pour les clients grands comptes. Il serait pertinent de préciser dans la soutenance les conditions contractuelles préalables (contrat de sous-traitance signé, agrément, bons d'attachement validés) qui conditionnent l'efficacité de ce processus et donnent une assise juridique solide au candidat.</t>
  </si>
  <si>
    <t>Le tableau de gestion des équipements techniques est adapté. L'alerte sur le harnais antichute (stock final &lt; stock minimum, norme EN 361) est identifiée mais doit déclencher une commande immédiate : il s'agit d'une obligation réglementaire. Le suivi des VGP semestrielles est bien intégré. La valorisation financière de ces équipements dans le BFR reste à préciser.</t>
  </si>
  <si>
    <t>Le suivi de l'équipement de levage est rigoureux. Cependant, la situation du harnais antichute représente un risque réglementaire et opérationnel immédiat. Ce point devait être traité comme priorité absolue dans la soutenance, avec un délai d'approvisionnement précis et un fournisseur identifié.</t>
  </si>
  <si>
    <t>L'analyse des écarts est claire et bien contextualisée (dépassement kilométrique lié à un chantier dans le Var). L'action corrective de négociation d'une indemnité de grand déplacement est pertinente et démontre une connaissance des usages du BTP. Ce type d'anticipation contractuelle est une démarche de gestion mature.</t>
  </si>
  <si>
    <t>La maîtrise des charges fixes est correcte. Il manque cependant un suivi de l'écart sur le CA facturable : le nombre de jours facturés versus prévus est un indicateur essentiel pour un indépendant, car toute journée non facturée est une perte sèche. Cet angle doit figurer dans le tableau de bord mensuel.</t>
  </si>
  <si>
    <t>Soutenance de haut niveau portée par une expertise terrain indéniable. Le candidat défend son projet avec autorité et précision. Pour atteindre la note maximale, une approfondissement de la capacité à lire un bilan simplifié et à expliquer l'impact de la variation du BFR sur la capacité d'autofinancement est attendu.</t>
  </si>
  <si>
    <t>La maîtrise des indicateurs opérationnels est remarquable. La capacité à relier les résultats financiers à des actions commerciales concrètes démontre un vrai esprit de dirigeant. Quelques imprécisions sur les mécanismes comptables profonds sont à combler pour atteindre un niveau pleinement complet.</t>
  </si>
  <si>
    <t>Le QCM est validé avec un excellent niveau. Les connaissances théoriques sont solides et bien maîtrisées.</t>
  </si>
  <si>
    <t>Très bonne performance au QCM. Les connaissances théoriques confirment la solidité du socle de gestion comptable du candidat.</t>
  </si>
  <si>
    <t>Soutenance de très bon niveau portée par une expertise technique reconnue et une posture de chef d'entreprise affirmée. Le principal point d'amélioration porte sur la rigueur documentaire de la facturation, qui doit être impeccable vis-à-vis des clients grands comptes. Les équilibres financiers sont globalement maîtrisés. Admis.</t>
  </si>
  <si>
    <t>Dossier solide et bien argumenté. La maîtrise des spécificités réglementaires de la sous-traitance BTP est un point fort. Des efforts sont attendus sur la conformité complète de la facturation et la gestion proactive du risque de concentration client. Admis.</t>
  </si>
  <si>
    <t>L'écosystème numérique mis en place (Batappli / QuickBooks TPE) assure une chaîne administrative fluide. Les indicateurs retenus sont précis et directement actionnables. Le workflow dématérialisé est un exemple de bonne organisation pour une TPE gros œuvre. Il conviendrait de préciser comment le candidat gère le suivi simultané de plusieurs chantiers (situations par chantier, retenues de garantie) pour valider la scalabilité du système.</t>
  </si>
  <si>
    <t>L'organisation administrative est exemplaire dans sa conception. La synchronisation Batappli/QuickBooks constitue une chaîne de traitement efficace. L'objectif de moins de 2h/semaine d'administratif démontre une maîtrise des outils numériques au service de la productivité. Ce niveau d'organisation est un avantage concurrentiel réel à mettre en avant.</t>
  </si>
  <si>
    <t>Le prévisionnel est construit avec rigueur. L'hypothèse de taux de présence de 85 % intégrant le risque hivernal démonure une approche mature. La trésorerie nette de +2 800 € en N1 est cependant limitée : un retard d'encaissement de 15 jours sur un chantier majeur pourrait créer une tension. Une analyse du point mort aurait complété utilement la démonstration.</t>
  </si>
  <si>
    <t>La qualité du prévisionnel financier est remarquable. Le calcul du BFR est rigoureux. La progression de la trésorerie nette de N1 à N3 témoigne d'une montée en puissance maîtrisée. Pour parfaire le dossier, une analyse du seuil de rentabilité mensuel aurait renforcé la démonstration de viabilité dès les premiers mois d'activité.</t>
  </si>
  <si>
    <t>Les calculs HT, TVA et TTC sont corrects et la mention de l'autoliquidation est maîtrisée. Cependant, des mentions légales d'identification essentielles sont absentes : numéro SIRET clairement visible, forme juridique et numéro de TVA intracommunautaire. Sans ces éléments, la facture est juridiquement invalide. Ce point de vigilance est d'autant plus important que la facturation aux entreprises générales exige une rigueur documentaire irréprochable.</t>
  </si>
  <si>
    <t>La présentation commerciale et la structure de calcul sont de qualité. Il est néanmoins impératif de compléter systématiquement l'en-tête de chaque facture avec l'identité légale complète de l'entreprise. Cette omission est le premier motif de rejet comptable et de retard de paiement : elle doit être corrigée avant la mise en activité, sans exception.</t>
  </si>
  <si>
    <t>Le processus de recouvrement en quatre étapes est bien graduée et adapté aux pratiques du BTP. L'appel amiable pour vérifier l'absence de litige sur les attachements est une précaution pertinente. La graduation jusqu'au référé commercial est cohérente. L'arrêt des prestations est clairement identifié comme levier de pression ultime.</t>
  </si>
  <si>
    <t>La procédure est complète et bien articulée. Le calcul des pénalités légales est correctement intégré. Il conviendrait de préciser que l'efficacité de cette procédure repose sur la qualité des pièces justificatives conservées dès le début du chantier (bons d'attachement signés, PV de réception). Sans ces documents, la procédure est difficile à faire valoir.</t>
  </si>
  <si>
    <t>Le tableau de gestion des stocks chantier est complet. L'alerte sur les armatures est identifiée avec une commande urgente à déclencher. La gestion en flux tendu du béton est justifiée et économiquement pertinente. L'alerte sur les armatures devait être accompagnée d'un délai d'approvisionnement précis et d'un fournisseur de substitution identifié.</t>
  </si>
  <si>
    <t>La gestion des stocks de coffrage est rigoureuse. L'externalisation des banches métalliques par location est un choix stratégique pertinent. Il manque cependant une formalisation du processus de réception des matériaux à la livraison, qui conditionne la qualité des ouvrages et la protection de la garantie décennale.</t>
  </si>
  <si>
    <t>L'analyse des écarts est précise et démontre un réel sens de la gestion : le gain sur la location de banches compense partiellement la hausse des armatures. Les actions correctives sont concrètes et chiffrées. La démarche est structurée et actionnée avec cohérence.</t>
  </si>
  <si>
    <t>Le tableau d'écarts est exploité avec rigueur et les actions correctives sont réalistes. Il manque un indicateur de suivi de l'impact cumulé de ces actions sur la marge brute mensuelle, pour boucler le pilotage de la performance et démontrer l'atteinte des objectifs initiaux.</t>
  </si>
  <si>
    <t>Soutenance de très haut niveau combinant maîtrise technique et compréhension approfondie des mécanismes financiers. Le candidat commente ses indicateurs avec précision et anticipe les questions du jury. Pour atteindre l'excellence absolue, la capacité à simuler en direct l'impact d'une variation du CA sur la trésorerie nette renforcerait encore la démonstration.</t>
  </si>
  <si>
    <t>Excellente soutenance sur l'ensemble des volets. La lecture des états financiers est fluide et les ratios de rentabilité sont correctement interprétés. Ce niveau de maturité financière est rare pour un profil en reconversion et témoigne d'un investissement personnel notable dans la préparation du projet.</t>
  </si>
  <si>
    <t>Très bonne performance au QCM. La maîtrise théorique est solide et confirme le niveau général de la soutenance.</t>
  </si>
  <si>
    <t>Excellent résultat au QCM. Les connaissances théoriques sont assimilées et restituées avec précision, en cohérence avec la qualité globale du dossier.</t>
  </si>
  <si>
    <t>Soutenance remarquable, portée par 21 ans d'expertise et une préparation visiblement très sérieuse. Le projet est crédible, bien financé et s'appuie sur un écosystème numérique cohérent. La rigueur dans l'analyse des écarts et la maîtrise des spécificités réglementaires BTP sont des atouts majeurs. Le seul point d'amélioration concerne la complétude des mentions légales de facturation, à corriger impérativement. Admis avec mention.</t>
  </si>
  <si>
    <t>Dossier de très bonne facture, démontrant une compréhension fine des enjeux comptables et financiers. Les outils de gestion sont judicieusement choisis et les tableaux de bord sont opérationnels. Une attention renforcée sur la conformité de la facturation est le seul point à corriger avant la mise en activité. Admis.</t>
  </si>
  <si>
    <t>Référentiel de compétences et de certification</t>
  </si>
  <si>
    <t>Concevoir et animer une formation avec une pédagogie active</t>
  </si>
  <si>
    <t xml:space="preserve">ACTIVITÉS </t>
  </si>
  <si>
    <t xml:space="preserve">          COMPÉTENCES PROFESSIONNELLES</t>
  </si>
  <si>
    <t>MODALITÉS D’ÉVALUATION</t>
  </si>
  <si>
    <t>CRITÈRES D’ÉVALUATION</t>
  </si>
  <si>
    <t>Activité 1. Conception et préparation d’une formation avec une pédagogie active</t>
  </si>
  <si>
    <t>N°</t>
  </si>
  <si>
    <t>Activité 1</t>
  </si>
  <si>
    <t>Conception et préparation d’une formation avec une pédagogie active</t>
  </si>
  <si>
    <t>Conception d’une action de formation</t>
  </si>
  <si>
    <t>A1C1. Recueillir les informations nécessaires à la préparation optimale de l’action de formation pour répondre au mieux aux besoins du client et à ses attentes en termes de retours sur investissement.</t>
  </si>
  <si>
    <t>A1Cr1. La démarche proposée de recueil des besoins de formation permet d’obtenir des informations suffisantes à l’élaboration d’une action adaptée au besoin du commanditaire.</t>
  </si>
  <si>
    <t>A1Cr1</t>
  </si>
  <si>
    <t>La démarche proposée de recueil des besoins de formation permet d’obtenir des informations suffisantes à l’élaboration d’une action adaptée au besoin du commanditaire.</t>
  </si>
  <si>
    <t>A1Cr1.       Points 3</t>
  </si>
  <si>
    <t>A1C2. Définir les objectifs de la formation en prenant en compte le niveau et attentes des participants ainsi que leurs capacités à être acteurs de leurs apprentissages, pour permettre d’adapter le déroulé pédagogique.</t>
  </si>
  <si>
    <t>Modalités d’évaluation Me1 sur l’activité 1 et 3.</t>
  </si>
  <si>
    <t>A1Cr2. Les objectifs pédagogiques sont rédigés en débutant par un verbe à l’infinitif, précisent le sujet de l’action et les conditions d’exécution, tout en correspondant aux besoins du commanditaire.</t>
  </si>
  <si>
    <t>A1Cr2</t>
  </si>
  <si>
    <t xml:space="preserve"> Les objectifs pédagogiques sont rédigés en débutant par un verbe à l’infinitif, précisent le sujet de l’action et les conditions d’exécution, tout en correspondant aux besoins du commanditaire.</t>
  </si>
  <si>
    <t>A1Cr2        Points 4</t>
  </si>
  <si>
    <t>A1C3.  Concevoir le déroulé pédagogique de façon structurée et séquencée, permettant d’atteindre les objectifs en tenant compte du profil des participants et des moyens d’apprentissages les plus adaptés.</t>
  </si>
  <si>
    <t>A1Cr3. La structure du déroulé pédagogique présentée comprend toutes les connaissances et compétences qui doivent être transmises pour atteindre les objectifs pédagogiques dans le temps impartis.</t>
  </si>
  <si>
    <t>A1Cr3</t>
  </si>
  <si>
    <t>La structure du déroulé pédagogique présentée comprend toutes les connaissances et compétences qui doivent être transmises pour atteindre les objectifs pédagogiques dans le temps impartis.</t>
  </si>
  <si>
    <t>A1Cr3        Points 3</t>
  </si>
  <si>
    <t>A1C4.  Choisir et intégrer des méthodes et techniques de pédagogie active en tenant compte du contexte, du sujet à traiter et du temps disponible pour atteindre les objectifs, tout en proposant une animation interactive, ludique et impliquante.</t>
  </si>
  <si>
    <t>Mode : Projet professionnel concernant la conception d’une action de formation avec soutenance orale.</t>
  </si>
  <si>
    <t>A1Cr4. Le déroulé pédagogique est découpé en séquences qui comprennent des activités heuristiques, démonstratives et applicatives.</t>
  </si>
  <si>
    <t>A1Cr4</t>
  </si>
  <si>
    <t>Le déroulé pédagogique est découpé en séquences qui comprennent des activités heuristiques, démonstratives et applicatives.</t>
  </si>
  <si>
    <t>A1Cr4        Points 3</t>
  </si>
  <si>
    <t>A1Cr5. Les techniques et méthodes pédagogiques et la pré-communication utilisées sont explicitées dans leur choix et dans leurs bénéfices par rapport au public, aux objectifs et aux diverses contraintes (temps, matériel…).</t>
  </si>
  <si>
    <t>A1Cr5</t>
  </si>
  <si>
    <t>Les techniques et méthodes pédagogiques et la pré-communication utilisées sont explicitées dans leur choix et dans leurs bénéfices par rapport au public, aux objectifs et aux diverses contraintes (temps, matériel…).</t>
  </si>
  <si>
    <t>A1Cr5        Points 4</t>
  </si>
  <si>
    <t>A1C5. Réaliser en appliquant les règles de lisibilité et         de présentation, les supports pédagogiques à partir des scénarios définis en y intégrant des visuels percutants pour appuyer les transmissions de connaissances et faciliter la mémorisation.</t>
  </si>
  <si>
    <t>Durée : 20 minutes de soutenance orale.</t>
  </si>
  <si>
    <t xml:space="preserve">A1Cr6. Les supports pédagogiques présentés sont en cohérence avec les thématiques abordées et leur forme facilite l’apprentissage. </t>
  </si>
  <si>
    <t>A1Cr6</t>
  </si>
  <si>
    <t xml:space="preserve">Les supports pédagogiques présentés sont en cohérence avec les thématiques abordées et leur forme facilite l’apprentissage. </t>
  </si>
  <si>
    <t>A1Cr6        Points 4</t>
  </si>
  <si>
    <t>A1C6. Adapter les supports de formation aux situations d’apprentissage réalisées à distance, en y intégrant les outils digitaux, pour répondre aux nouveaux usages.</t>
  </si>
  <si>
    <t>A1Cr7. Les conditions de préparation du lieu d’apprentissage sont acquises (organisation de l’espace – matériel utile – organisation des temps de pause – lumière)</t>
  </si>
  <si>
    <t>A1Cr7</t>
  </si>
  <si>
    <t>Les conditions de préparation du lieu d’apprentissage sont acquises (organisation de l’espace – matériel utile – organisation des temps de pause – lumière)</t>
  </si>
  <si>
    <t>A1Cr7        Points 3</t>
  </si>
  <si>
    <t>Préparation de l’action de formation.</t>
  </si>
  <si>
    <t>Modalités d’évaluation : En amont de la soutenance orale, le candidat réalise un projet professionnel sur la conception d’une action de formation en réponse à un besoin défini du commanditaire. Le candidat présente son système d’évaluation associé à cette action de formation.</t>
  </si>
  <si>
    <t>Activité 3</t>
  </si>
  <si>
    <t xml:space="preserve"> Evaluation d’une formation avec une pédagogie active.</t>
  </si>
  <si>
    <t>A1C7. Préparer le lieu d’apprentissage (en face à face ou à distance), en y intégrant les conditions nécessaires (espace - matériel - température - lumière - audibilité) pour amener les participants à un état propice aux apprentissages (confort, confiance).</t>
  </si>
  <si>
    <t>A1Cr8. Le dispositif d’évaluation des acquis est en adéquation avec la durée et le type de validation délivré et permet de vérifier l’atteinte des objectifs.</t>
  </si>
  <si>
    <t>A1Cr8</t>
  </si>
  <si>
    <t>Le dispositif d’évaluation des acquis est en adéquation avec la durée et le type de validation délivré et permet de vérifier l’atteinte des objectifs.</t>
  </si>
  <si>
    <t>A1Cr8        Points 3</t>
  </si>
  <si>
    <t>A1C8. Réaliser la pré-communication à diffuser aux participants avant le début de la formation pour susciter leur engagement en leur apportant des informations motivantes et recueillant leurs besoins spécifiques.</t>
  </si>
  <si>
    <t>A1Cr9. Le dispositif d’évaluation de satisfaction proposé permet d’identifier les points d’amélioration et de mettre en place des mesures correctives.</t>
  </si>
  <si>
    <t>A1Cr9</t>
  </si>
  <si>
    <t>Le dispositif d’évaluation de satisfaction proposé permet d’identifier les points d’amélioration et de mettre en place des mesures correctives.</t>
  </si>
  <si>
    <t>A1Cr9        Points 3</t>
  </si>
  <si>
    <t>Grille de notation</t>
  </si>
  <si>
    <t>Activité 2</t>
  </si>
  <si>
    <t xml:space="preserve"> Animation d’une formation avec une pédagogie active.</t>
  </si>
  <si>
    <t>A2Cr1</t>
  </si>
  <si>
    <t>Les informations utiles au démarrage d’une séquence de formation sont transmises (objectifs – organisation de la séance – présentation de chaque participant et de ses attentes)</t>
  </si>
  <si>
    <t>A1Cr1.     Points 4</t>
  </si>
  <si>
    <t>A2Cr2</t>
  </si>
  <si>
    <t>Le candidat s’exprime en maîtrisant les aspects verbaux, non verbaux et para-verbaux de sa communication orale de façon à être audible, clair et explicite.</t>
  </si>
  <si>
    <t>A1Cr2      Points 5</t>
  </si>
  <si>
    <t>A2Cr3</t>
  </si>
  <si>
    <t>Le candidat montre sa capacité à pratiquer l’écoute active, à valoriser les retours des participants, tout en restant centré sur le sujet.</t>
  </si>
  <si>
    <t>A1Cr3      Points 4</t>
  </si>
  <si>
    <t>A2Cr4</t>
  </si>
  <si>
    <t>Les activités sont lancées, gérées et conclues en respectant les règles pédagogiques (annonce de l’objectif, consignes de travail données, suivi de l’activité, conclusion avec transposition à la réalité des participants…).</t>
  </si>
  <si>
    <t>A1Cr4      Points 5</t>
  </si>
  <si>
    <t>A2Cr5</t>
  </si>
  <si>
    <t>Le candidat montre sa capacité à gérer des personnalités difficiles ou situations sensibles, tout en gardant la maîtrise dans la conduite de l’action de formation.</t>
  </si>
  <si>
    <t>A1Cr5      Points 4</t>
  </si>
  <si>
    <t>A2Cr6</t>
  </si>
  <si>
    <t>Les conditions nécessaires à la clôture de l’action de formation sont réunies. (Tour des participants avec validation des objectifs atteints – Mise en place avec les participants d’un plan de continuité de l’action)</t>
  </si>
  <si>
    <t>A1Cr6      Points 4</t>
  </si>
  <si>
    <t>A2Cr7</t>
  </si>
  <si>
    <t xml:space="preserve"> Les documents utiles à la gestion de l’action de formation sont utilisés (feuille d’émargements – évaluations des participants – remise des supports de formation)</t>
  </si>
  <si>
    <t>A1Cr7      Points 4</t>
  </si>
  <si>
    <t>L’obtention d’une note minimale de 15/30 permet la validation de l’activité.</t>
  </si>
  <si>
    <t>Activité 2. Animation d’une formation avec une pédagogie active.</t>
  </si>
  <si>
    <t>A2C1.  Démarrer le début de la séance de formation en créant dès le départ une ambiance enthousiaste et motivante, en partageant les objectifs à atteindre, en s’assurant de la cohérence des attentes et besoins de chacun, pour favoriser l’implication collective.</t>
  </si>
  <si>
    <t>A2Cr1. Les informations utiles au démarrage d’une séquence de formation sont transmises (objectifs – organisation de la séance – présentation de chaque participant et de ses attentes)</t>
  </si>
  <si>
    <t>A2C2.  Utiliser les techniques d’écoute, de communication verbale, non-verbale et para-verbale pour faire passer les messages avec clarté et impact, en tenant compte des réactions et besoins des apprenants.</t>
  </si>
  <si>
    <t>Modalités d’évaluation Me2 sur l’activité 2.</t>
  </si>
  <si>
    <t>A2Cr2. Le candidat s’exprime en maîtrisant les aspects verbaux, non verbaux et para-verbaux de sa communication orale de façon à être audible, clair et explicite.</t>
  </si>
  <si>
    <t>A2Cr3. Le candidat montre sa capacité à pratiquer l’écoute active, à valoriser les retours des participants, tout en restant centré sur le sujet.</t>
  </si>
  <si>
    <t>A2C3.  Utiliser les techniques d’animation avec la pédagogie active (les techniques d’apprentissage – les techniques de réactivation des connaissances– les techniques de mémorisation, les techniques de questionnement, de reformulation, de débriefing …) pour maintenir la participation et l’adhésion des participants et faciliter leur montée en compétences.</t>
  </si>
  <si>
    <t>Mode : Mise en situation réelle d’animation d’une action de formation avec débriefing</t>
  </si>
  <si>
    <t>A2Cr4. Les activités sont lancées, gérées et conclues en respectant les règles pédagogiques (annonce de l’objectif, consignes de travail données, suivi de l’activité, conclusion avec transposition à la réalité des participants…).</t>
  </si>
  <si>
    <t xml:space="preserve">A2Cr5. Les techniques d’animation avec une pédagogie active sont utilisées à bon escient (implication des participants, échanges, activités ludiques…)   </t>
  </si>
  <si>
    <t>A2C4. Utiliser la pédagogie ludique permettant de faciliter l’apprentissage en créant une distanciation avec la réalité pour placer le participant dans des zones de confort et de lâcher-prise favorable à la créativité.</t>
  </si>
  <si>
    <t>Durée : 20 minutes et 15 minutes de débriefing</t>
  </si>
  <si>
    <t>A2Cr5. Le candidat montre sa capacité à gérer des personnalités difficiles ou situations sensibles, tout en gardant la maîtrise dans la conduite de l’action de formation.</t>
  </si>
  <si>
    <t>A2Cr6. Les conditions nécessaires à la clôture de l’action de formation sont réunies. (Tour des participants avec validation des objectifs atteints – Mise en place avec les participants d’un plan de continuité de l’action)</t>
  </si>
  <si>
    <t>A2C5. Utiliser les techniques de pédagogie interactive en permettant aux participants d’échanger sur leurs acquis, de partager leurs expériences pour s’enrichir mutuellement et obtenir davantage d’implication et de consensus.</t>
  </si>
  <si>
    <t>Modalités d’évaluation :</t>
  </si>
  <si>
    <t>A2Cr7. Les documents utiles à la gestion de l’action de formation sont utilisés (feuille d’émargements – évaluations des participants – remise des supports de formation)</t>
  </si>
  <si>
    <t>Le candidat anime une séquence de l’action de formation conçue pour l’évaluation Me1 devant les autres candidats jouant le rôle des apprenants et face au jury professionnel.</t>
  </si>
  <si>
    <t>A2C6. Gérer les retours des participants en valorisant leurs contributions, en leur permettant de s’approprier les nouvelles compétences transmises pour maintenir l’engagement et la motivation de chacun.</t>
  </si>
  <si>
    <t>A2C7. Identifier les sujets et situations sensibles, en accompagnant les participants à mieux les surmonter et à résoudre par eux-mêmes les difficultés pour leur donner la prise de recul et l’autonomie nécessaire.</t>
  </si>
  <si>
    <t>A2C8. Gérer avec tact les personnalités difficiles pour permettre de conduire l’animation de la formation dans les meilleures conditions.</t>
  </si>
  <si>
    <t>A2C9. Gérer la clôture de la session de formation en faisant établir des plans d’actions, s’assurant de la satisfaction des apprenants et validant l’atteinte des objectifs pour engager les participants à transposer les acquis dans leur quotidien.</t>
  </si>
  <si>
    <t>COMPÉTENCES PROFESSIONNELLES</t>
  </si>
  <si>
    <t xml:space="preserve"> </t>
  </si>
  <si>
    <t>Activité 3. Evaluation d’une formation avec une pédagogie active.</t>
  </si>
  <si>
    <t>A3C1. Elaborer un dispositif d’évaluation des acquis, associé à des modalités et à des critères d’appréciation pour permettre de certifier l’acquisition de compétence des participants.</t>
  </si>
  <si>
    <t>L’activité 3 est évaluée en même temps que l’activité 1 à travers l’évaluation Me1.</t>
  </si>
  <si>
    <t>Les critères d’évaluation sont intégrés dans l’évaluation Me1.</t>
  </si>
  <si>
    <t>A3C2. Elaborer un dispositif d’évaluation de la satisfaction des différentes parties prenantes de la formation (participants – commanditaires – formateurs) pour permettre d’identifier les points d’amélioration.</t>
  </si>
  <si>
    <t>A3C3. Identifier les points forts et les axes de progrès mis en avant par les retours des évaluations de fin de formation et de transfert des acquis (apprenants - commanditaires - formateurs) pour engager des actions correctives dans le principe d’amélioration continue.</t>
  </si>
  <si>
    <t>A3C4. Engager une démarche de qualité et d’amélioration continue en participant à des réunions pédagogiques et de perfectionnement pour permettre de faire progresser l’offre de 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</si>
</sst>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9">
    <font>
      <sz val="11"/>
      <color theme="1"/>
      <name val="Arial"/>
      <scheme val="minor"/>
    </font>
    <font>
      <b/>
      <sz val="16"/>
      <color rgb="FFFFFFFF"/>
      <name val="Trebuchet MS"/>
    </font>
    <font>
      <sz val="10"/>
      <color theme="1"/>
      <name val="Trebuchet MS"/>
    </font>
    <font>
      <b/>
      <sz val="10"/>
      <color theme="1"/>
      <name val="Trebuchet MS"/>
    </font>
    <font>
      <b/>
      <sz val="10"/>
      <color rgb="FFFF0000"/>
      <name val="Trebuchet MS"/>
    </font>
    <font>
      <b/>
      <sz val="10"/>
      <color theme="1"/>
      <name val="Arial"/>
    </font>
    <font>
      <sz val="12"/>
      <color rgb="FF000000"/>
      <name val="&quot;Trebuchet MS&quot;"/>
    </font>
    <font>
      <b/>
      <sz val="24"/>
      <color theme="0"/>
      <name val="Trebuchet MS"/>
    </font>
    <font>
      <sz val="11"/>
      <color theme="1"/>
      <name val="Trebuchet MS"/>
    </font>
    <font>
      <b/>
      <sz val="18"/>
      <color theme="1"/>
      <name val="Trebuchet MS"/>
    </font>
    <font>
      <b/>
      <sz val="12"/>
      <color theme="1"/>
      <name val="Trebuchet MS"/>
    </font>
    <font>
      <b/>
      <i/>
      <sz val="11"/>
      <color rgb="FFFF0000"/>
      <name val="Trebuchet MS"/>
    </font>
    <font>
      <b/>
      <i/>
      <sz val="12"/>
      <color theme="1"/>
      <name val="Trebuchet MS"/>
    </font>
    <font>
      <sz val="12"/>
      <color theme="1"/>
      <name val="Trebuchet MS"/>
    </font>
    <font>
      <b/>
      <sz val="11"/>
      <color theme="1"/>
      <name val="Trebuchet MS"/>
    </font>
    <font>
      <b/>
      <sz val="12"/>
      <color theme="0"/>
      <name val="Trebuchet MS"/>
    </font>
    <font>
      <b/>
      <sz val="12"/>
      <color rgb="FFFFFFFF"/>
      <name val="Trebuchet MS"/>
    </font>
    <font>
      <sz val="9"/>
      <color theme="1"/>
      <name val="Trebuchet MS"/>
    </font>
    <font>
      <sz val="11"/>
      <color theme="1"/>
      <name val="Arial"/>
    </font>
    <font>
      <b/>
      <sz val="9"/>
      <color theme="1"/>
      <name val="Trebuchet MS"/>
    </font>
    <font>
      <b/>
      <sz val="14"/>
      <color theme="1"/>
      <name val="Trebuchet MS"/>
    </font>
    <font>
      <b/>
      <sz val="14"/>
      <color theme="0"/>
      <name val="Trebuchet MS"/>
    </font>
    <font>
      <b/>
      <sz val="11"/>
      <color rgb="FFFF0000"/>
      <name val="Trebuchet MS"/>
    </font>
    <font>
      <b/>
      <sz val="24"/>
      <color theme="1"/>
      <name val="Calibri"/>
    </font>
    <font>
      <sz val="11"/>
      <color theme="1"/>
      <name val="Calibri"/>
    </font>
    <font>
      <b/>
      <sz val="20"/>
      <color theme="1"/>
      <name val="Calibri"/>
    </font>
    <font>
      <b/>
      <sz val="12"/>
      <color theme="1"/>
      <name val="Calibri"/>
    </font>
    <font>
      <b/>
      <sz val="12"/>
      <color rgb="FF000000"/>
      <name val="Calibri"/>
    </font>
    <font>
      <b/>
      <sz val="16"/>
      <color rgb="FF000000"/>
      <name val="Calibri"/>
    </font>
    <font>
      <b/>
      <sz val="11"/>
      <color theme="0"/>
      <name val="Calibri"/>
    </font>
    <font>
      <sz val="13"/>
      <color theme="1"/>
      <name val="Times New Roman"/>
    </font>
    <font>
      <b/>
      <sz val="11"/>
      <color theme="1"/>
      <name val="Calibri"/>
    </font>
    <font>
      <sz val="10"/>
      <color theme="1"/>
      <name val="Calibri"/>
    </font>
    <font>
      <b/>
      <sz val="13"/>
      <color rgb="FF000000"/>
      <name val="Calibri"/>
    </font>
    <font>
      <b/>
      <sz val="13"/>
      <color theme="1"/>
      <name val="Calibri"/>
    </font>
    <font>
      <b/>
      <sz val="10"/>
      <color theme="1"/>
      <name val="Calibri"/>
    </font>
    <font>
      <b/>
      <sz val="16"/>
      <color theme="1"/>
      <name val="Calibri"/>
    </font>
    <font>
      <b/>
      <sz val="11"/>
      <color rgb="FFFF0000"/>
      <name val="Calibri"/>
    </font>
    <font>
      <sz val="10"/>
      <color theme="1"/>
      <name val="Times New Roman"/>
    </font>
  </fonts>
  <fills count="10">
    <fill>
      <patternFill patternType="none"/>
    </fill>
    <fill>
      <patternFill patternType="gray125"/>
    </fill>
    <fill>
      <patternFill patternType="solid">
        <fgColor rgb="FF3EB9BC"/>
        <bgColor rgb="FF3EB9BC"/>
      </patternFill>
    </fill>
    <fill>
      <patternFill patternType="solid">
        <fgColor rgb="FFFFFFFF"/>
        <bgColor rgb="FFFFFFFF"/>
      </patternFill>
    </fill>
    <fill>
      <patternFill patternType="solid">
        <fgColor rgb="FF757070"/>
        <bgColor rgb="FF757070"/>
      </patternFill>
    </fill>
    <fill>
      <patternFill patternType="solid">
        <fgColor rgb="FFFFC000"/>
        <bgColor rgb="FFFFC000"/>
      </patternFill>
    </fill>
    <fill>
      <patternFill patternType="solid">
        <fgColor rgb="FFD9D9D9"/>
        <bgColor rgb="FFD9D9D9"/>
      </patternFill>
    </fill>
    <fill>
      <patternFill patternType="solid">
        <fgColor rgb="FF00CCFF"/>
        <bgColor rgb="FF00CCFF"/>
      </patternFill>
    </fill>
    <fill>
      <patternFill patternType="solid">
        <fgColor rgb="FF002060"/>
        <bgColor rgb="FF002060"/>
      </patternFill>
    </fill>
    <fill>
      <patternFill patternType="solid">
        <fgColor rgb="FFF8F8F8"/>
        <bgColor rgb="FFF8F8F8"/>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bottom/>
      <diagonal/>
    </border>
    <border>
      <left/>
      <right style="thin">
        <color rgb="FF000000"/>
      </right>
      <top style="thin">
        <color rgb="FF000000"/>
      </top>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style="medium">
        <color rgb="FF000000"/>
      </right>
      <top/>
      <bottom/>
      <diagonal/>
    </border>
    <border>
      <left/>
      <right style="medium">
        <color rgb="FF000000"/>
      </right>
      <top/>
      <bottom/>
      <diagonal/>
    </border>
    <border>
      <left/>
      <right style="thick">
        <color rgb="FF000000"/>
      </right>
      <top/>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ck">
        <color rgb="FF000000"/>
      </top>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s>
  <cellStyleXfs count="1">
    <xf numFmtId="0" fontId="0" fillId="0" borderId="0"/>
  </cellStyleXfs>
  <cellXfs count="120">
    <xf numFmtId="0" fontId="0" fillId="0" borderId="0" xfId="0"/>
    <xf numFmtId="0" fontId="2" fillId="0" borderId="0" xfId="0" applyFont="1"/>
    <xf numFmtId="0" fontId="2" fillId="0" borderId="0" xfId="0" applyFont="1" applyAlignment="1">
      <alignment vertical="center"/>
    </xf>
    <xf numFmtId="0" fontId="3" fillId="0" borderId="1" xfId="0" applyFont="1" applyBorder="1" applyAlignment="1">
      <alignment horizontal="center" vertical="center"/>
    </xf>
    <xf numFmtId="164" fontId="3" fillId="0" borderId="1" xfId="0" applyNumberFormat="1" applyFont="1" applyBorder="1" applyAlignment="1">
      <alignment vertical="center" wrapText="1"/>
    </xf>
    <xf numFmtId="0" fontId="4" fillId="0" borderId="0" xfId="0" applyFont="1" applyAlignment="1">
      <alignment horizontal="left"/>
    </xf>
    <xf numFmtId="0" fontId="4" fillId="0" borderId="0" xfId="0" applyFont="1" applyAlignment="1">
      <alignment vertical="center"/>
    </xf>
    <xf numFmtId="0" fontId="2" fillId="0" borderId="0" xfId="0" applyFont="1" applyAlignment="1">
      <alignment horizontal="left"/>
    </xf>
    <xf numFmtId="0" fontId="4" fillId="0" borderId="0" xfId="0" applyFont="1"/>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2" xfId="0" applyFont="1" applyBorder="1" applyAlignment="1">
      <alignment horizontal="center" wrapText="1"/>
    </xf>
    <xf numFmtId="0" fontId="3" fillId="0" borderId="1" xfId="0" applyFont="1" applyBorder="1" applyAlignment="1">
      <alignment horizontal="left" vertical="center"/>
    </xf>
    <xf numFmtId="1" fontId="3" fillId="0" borderId="1" xfId="0" applyNumberFormat="1"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6" fillId="0" borderId="0" xfId="0" applyFont="1" applyAlignment="1">
      <alignment horizontal="left"/>
    </xf>
    <xf numFmtId="0" fontId="8" fillId="0" borderId="0" xfId="0" applyFont="1"/>
    <xf numFmtId="0" fontId="10" fillId="0" borderId="0" xfId="0" applyFont="1" applyAlignment="1">
      <alignment horizontal="center" vertical="center" wrapText="1"/>
    </xf>
    <xf numFmtId="0" fontId="10" fillId="0" borderId="0" xfId="0" applyFont="1" applyAlignment="1">
      <alignment horizontal="right" vertical="center" wrapText="1"/>
    </xf>
    <xf numFmtId="0" fontId="2" fillId="0" borderId="0" xfId="0" applyFont="1" applyAlignment="1">
      <alignment horizontal="center" vertical="center"/>
    </xf>
    <xf numFmtId="0" fontId="10" fillId="0" borderId="0" xfId="0" applyFont="1" applyAlignment="1">
      <alignment horizontal="left" vertical="center" wrapText="1"/>
    </xf>
    <xf numFmtId="164" fontId="10" fillId="0" borderId="0" xfId="0" applyNumberFormat="1" applyFont="1" applyAlignment="1">
      <alignment horizontal="left" vertical="center" wrapText="1"/>
    </xf>
    <xf numFmtId="0" fontId="3" fillId="0" borderId="0" xfId="0" applyFont="1" applyAlignment="1">
      <alignment horizontal="center" vertical="center" wrapText="1"/>
    </xf>
    <xf numFmtId="0" fontId="12" fillId="0" borderId="0" xfId="0" applyFont="1" applyAlignment="1">
      <alignment horizontal="center" vertical="center" wrapText="1"/>
    </xf>
    <xf numFmtId="0" fontId="8" fillId="0" borderId="0" xfId="0" applyFont="1" applyAlignment="1">
      <alignment horizontal="center" vertical="center"/>
    </xf>
    <xf numFmtId="0" fontId="13" fillId="0" borderId="0" xfId="0" applyFont="1"/>
    <xf numFmtId="0" fontId="14" fillId="2" borderId="1"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4" fillId="0" borderId="4" xfId="0" applyFont="1" applyBorder="1" applyAlignment="1">
      <alignment horizontal="center" vertical="center" wrapText="1"/>
    </xf>
    <xf numFmtId="0" fontId="17" fillId="0" borderId="1" xfId="0" applyFont="1" applyBorder="1" applyAlignment="1">
      <alignment horizontal="left" vertical="top" wrapText="1"/>
    </xf>
    <xf numFmtId="0" fontId="18" fillId="4" borderId="5" xfId="0" applyFont="1" applyFill="1" applyBorder="1" applyAlignment="1">
      <alignment horizontal="left" vertical="top"/>
    </xf>
    <xf numFmtId="0" fontId="17" fillId="0" borderId="6" xfId="0" applyFont="1" applyBorder="1" applyAlignment="1">
      <alignment horizontal="left" vertical="top" wrapText="1"/>
    </xf>
    <xf numFmtId="0" fontId="19" fillId="4" borderId="1" xfId="0" applyFont="1" applyFill="1" applyBorder="1" applyAlignment="1">
      <alignment horizontal="left" vertical="top" wrapText="1"/>
    </xf>
    <xf numFmtId="0" fontId="20" fillId="0" borderId="1" xfId="0" applyFont="1" applyBorder="1" applyAlignment="1">
      <alignment horizontal="center" vertical="center" wrapText="1"/>
    </xf>
    <xf numFmtId="0" fontId="8" fillId="0" borderId="1" xfId="0" applyFont="1" applyBorder="1" applyAlignment="1">
      <alignment vertical="center" wrapText="1"/>
    </xf>
    <xf numFmtId="0" fontId="17" fillId="0" borderId="7" xfId="0" applyFont="1" applyBorder="1" applyAlignment="1">
      <alignment horizontal="left" vertical="top" wrapText="1"/>
    </xf>
    <xf numFmtId="0" fontId="18" fillId="4" borderId="8" xfId="0" applyFont="1" applyFill="1" applyBorder="1" applyAlignment="1">
      <alignment horizontal="left" vertical="top"/>
    </xf>
    <xf numFmtId="0" fontId="17" fillId="0" borderId="9" xfId="0" applyFont="1" applyBorder="1" applyAlignment="1">
      <alignment horizontal="left" vertical="top" wrapText="1"/>
    </xf>
    <xf numFmtId="0" fontId="14" fillId="0" borderId="10" xfId="0" applyFont="1" applyBorder="1" applyAlignment="1">
      <alignment horizontal="center" vertical="center" wrapText="1"/>
    </xf>
    <xf numFmtId="0" fontId="14" fillId="0" borderId="1" xfId="0" applyFont="1" applyBorder="1" applyAlignment="1">
      <alignment horizontal="center" vertical="center" wrapText="1"/>
    </xf>
    <xf numFmtId="0" fontId="19" fillId="4" borderId="11" xfId="0" applyFont="1" applyFill="1" applyBorder="1" applyAlignment="1">
      <alignment horizontal="left" vertical="top" wrapText="1"/>
    </xf>
    <xf numFmtId="0" fontId="21" fillId="0" borderId="0" xfId="0" applyFont="1" applyAlignment="1">
      <alignment horizontal="center" vertical="center" wrapText="1"/>
    </xf>
    <xf numFmtId="0" fontId="21" fillId="0" borderId="12" xfId="0" applyFont="1" applyBorder="1" applyAlignment="1">
      <alignment horizontal="center" vertical="center" wrapText="1"/>
    </xf>
    <xf numFmtId="1" fontId="20" fillId="5" borderId="1" xfId="0" applyNumberFormat="1" applyFont="1" applyFill="1" applyBorder="1" applyAlignment="1">
      <alignment horizontal="center" vertical="center"/>
    </xf>
    <xf numFmtId="1" fontId="20" fillId="0" borderId="0" xfId="0" applyNumberFormat="1" applyFont="1" applyAlignment="1">
      <alignment horizontal="center" vertical="center" wrapText="1"/>
    </xf>
    <xf numFmtId="1" fontId="20" fillId="0" borderId="1" xfId="0" applyNumberFormat="1" applyFont="1" applyBorder="1" applyAlignment="1">
      <alignment horizontal="center" vertical="center" wrapText="1"/>
    </xf>
    <xf numFmtId="0" fontId="8" fillId="0" borderId="0" xfId="0" applyFont="1" applyAlignment="1">
      <alignment horizontal="left"/>
    </xf>
    <xf numFmtId="0" fontId="13" fillId="0" borderId="0" xfId="0" applyFont="1" applyAlignment="1">
      <alignment horizontal="left" vertical="center"/>
    </xf>
    <xf numFmtId="0" fontId="22" fillId="0" borderId="0" xfId="0" applyFont="1" applyAlignment="1">
      <alignment horizontal="left" vertical="center" wrapText="1"/>
    </xf>
    <xf numFmtId="0" fontId="14" fillId="0" borderId="0" xfId="0" applyFont="1" applyAlignment="1">
      <alignment horizontal="left" vertical="center" wrapText="1"/>
    </xf>
    <xf numFmtId="0" fontId="20" fillId="0" borderId="0" xfId="0" applyFont="1" applyAlignment="1">
      <alignment horizontal="left" vertical="center" wrapText="1"/>
    </xf>
    <xf numFmtId="0" fontId="10" fillId="0" borderId="0" xfId="0" applyFont="1" applyAlignment="1">
      <alignment horizontal="left" vertical="center"/>
    </xf>
    <xf numFmtId="0" fontId="8" fillId="0" borderId="0" xfId="0" applyFont="1" applyAlignment="1">
      <alignment horizontal="left" vertical="center"/>
    </xf>
    <xf numFmtId="0" fontId="23"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left" vertical="center"/>
    </xf>
    <xf numFmtId="0" fontId="25" fillId="0" borderId="0" xfId="0" applyFont="1" applyAlignment="1">
      <alignment vertical="center"/>
    </xf>
    <xf numFmtId="0" fontId="26" fillId="6" borderId="13" xfId="0" applyFont="1" applyFill="1" applyBorder="1" applyAlignment="1">
      <alignment vertical="center" wrapText="1"/>
    </xf>
    <xf numFmtId="0" fontId="27" fillId="6" borderId="14" xfId="0" applyFont="1" applyFill="1" applyBorder="1" applyAlignment="1">
      <alignment vertical="center" wrapText="1"/>
    </xf>
    <xf numFmtId="0" fontId="27" fillId="6" borderId="14" xfId="0" applyFont="1" applyFill="1" applyBorder="1" applyAlignment="1">
      <alignment horizontal="center" vertical="center" wrapText="1"/>
    </xf>
    <xf numFmtId="0" fontId="27" fillId="6" borderId="15"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30" fillId="9" borderId="18" xfId="0" applyFont="1" applyFill="1" applyBorder="1" applyAlignment="1">
      <alignment vertical="center" wrapText="1"/>
    </xf>
    <xf numFmtId="0" fontId="31" fillId="0" borderId="19" xfId="0" applyFont="1" applyBorder="1" applyAlignment="1">
      <alignment horizontal="left" vertical="center" wrapText="1"/>
    </xf>
    <xf numFmtId="0" fontId="31" fillId="0" borderId="19" xfId="0" applyFont="1" applyBorder="1" applyAlignment="1">
      <alignment vertical="center" wrapText="1"/>
    </xf>
    <xf numFmtId="0" fontId="32" fillId="0" borderId="20" xfId="0" applyFont="1" applyBorder="1" applyAlignment="1">
      <alignment vertical="center" wrapText="1"/>
    </xf>
    <xf numFmtId="0" fontId="33" fillId="9" borderId="18" xfId="0" applyFont="1" applyFill="1" applyBorder="1" applyAlignment="1">
      <alignment vertical="center" wrapText="1"/>
    </xf>
    <xf numFmtId="0" fontId="31" fillId="0" borderId="20" xfId="0" applyFont="1" applyBorder="1" applyAlignment="1">
      <alignment vertical="center" wrapText="1"/>
    </xf>
    <xf numFmtId="0" fontId="24" fillId="0" borderId="0" xfId="0" applyFont="1" applyAlignment="1">
      <alignment horizontal="left" vertical="center" wrapText="1"/>
    </xf>
    <xf numFmtId="0" fontId="24" fillId="0" borderId="19" xfId="0" applyFont="1" applyBorder="1" applyAlignment="1">
      <alignment vertical="center" wrapText="1"/>
    </xf>
    <xf numFmtId="0" fontId="34" fillId="9" borderId="18" xfId="0" applyFont="1" applyFill="1" applyBorder="1" applyAlignment="1">
      <alignment vertical="center" wrapText="1"/>
    </xf>
    <xf numFmtId="0" fontId="24" fillId="0" borderId="19" xfId="0" applyFont="1" applyBorder="1" applyAlignment="1">
      <alignment horizontal="left" vertical="center" wrapText="1"/>
    </xf>
    <xf numFmtId="0" fontId="32" fillId="0" borderId="19" xfId="0" applyFont="1" applyBorder="1" applyAlignment="1">
      <alignment horizontal="left" vertical="center" wrapText="1"/>
    </xf>
    <xf numFmtId="0" fontId="31" fillId="0" borderId="21" xfId="0" applyFont="1" applyBorder="1" applyAlignment="1">
      <alignment vertical="center" wrapText="1"/>
    </xf>
    <xf numFmtId="0" fontId="31" fillId="0" borderId="22" xfId="0" applyFont="1" applyBorder="1" applyAlignment="1">
      <alignment horizontal="left" vertical="center" wrapText="1"/>
    </xf>
    <xf numFmtId="0" fontId="32" fillId="0" borderId="22" xfId="0" applyFont="1" applyBorder="1" applyAlignment="1">
      <alignment vertical="center" wrapText="1"/>
    </xf>
    <xf numFmtId="0" fontId="24" fillId="0" borderId="19" xfId="0" applyFont="1" applyBorder="1" applyAlignment="1">
      <alignment vertical="top" wrapText="1"/>
    </xf>
    <xf numFmtId="0" fontId="24" fillId="0" borderId="24" xfId="0" applyFont="1" applyBorder="1" applyAlignment="1">
      <alignment vertical="top" wrapText="1"/>
    </xf>
    <xf numFmtId="0" fontId="35" fillId="0" borderId="24" xfId="0" applyFont="1" applyBorder="1" applyAlignment="1">
      <alignment vertical="center" wrapText="1"/>
    </xf>
    <xf numFmtId="0" fontId="24" fillId="0" borderId="24" xfId="0" applyFont="1" applyBorder="1" applyAlignment="1">
      <alignment vertical="center" wrapText="1"/>
    </xf>
    <xf numFmtId="0" fontId="32" fillId="0" borderId="0" xfId="0" applyFont="1" applyAlignment="1">
      <alignment vertical="center"/>
    </xf>
    <xf numFmtId="0" fontId="27" fillId="6" borderId="26" xfId="0" applyFont="1" applyFill="1" applyBorder="1" applyAlignment="1">
      <alignment horizontal="center" vertical="center" wrapText="1"/>
    </xf>
    <xf numFmtId="0" fontId="27" fillId="6" borderId="28" xfId="0" applyFont="1" applyFill="1" applyBorder="1" applyAlignment="1">
      <alignment horizontal="center" vertical="center" wrapText="1"/>
    </xf>
    <xf numFmtId="0" fontId="31" fillId="0" borderId="22" xfId="0" applyFont="1" applyBorder="1" applyAlignment="1">
      <alignment vertical="center" wrapText="1"/>
    </xf>
    <xf numFmtId="0" fontId="32" fillId="0" borderId="22" xfId="0" applyFont="1" applyBorder="1" applyAlignment="1">
      <alignment horizontal="left" vertical="center" wrapText="1"/>
    </xf>
    <xf numFmtId="0" fontId="37" fillId="0" borderId="19" xfId="0" applyFont="1" applyBorder="1" applyAlignment="1">
      <alignment horizontal="left" vertical="center" wrapText="1"/>
    </xf>
    <xf numFmtId="0" fontId="38" fillId="0" borderId="19" xfId="0" applyFont="1" applyBorder="1" applyAlignment="1">
      <alignment horizontal="left" vertical="center" wrapText="1"/>
    </xf>
    <xf numFmtId="0" fontId="31" fillId="0" borderId="24" xfId="0" applyFont="1" applyBorder="1" applyAlignment="1">
      <alignment vertical="center" wrapText="1"/>
    </xf>
    <xf numFmtId="0" fontId="4" fillId="0" borderId="0" xfId="0" applyFont="1" applyAlignment="1">
      <alignment horizontal="left"/>
    </xf>
    <xf numFmtId="0" fontId="0" fillId="0" borderId="0" xfId="0"/>
    <xf numFmtId="0" fontId="4" fillId="0" borderId="0" xfId="0" applyFont="1" applyAlignment="1">
      <alignment horizontal="left" vertical="center"/>
    </xf>
    <xf numFmtId="0" fontId="1" fillId="2" borderId="11" xfId="0" applyFont="1" applyFill="1" applyBorder="1" applyAlignment="1">
      <alignment horizontal="center" vertical="center" wrapText="1"/>
    </xf>
    <xf numFmtId="0" fontId="10" fillId="0" borderId="0" xfId="0" applyFont="1" applyAlignment="1">
      <alignment horizontal="right" vertical="center" wrapText="1"/>
    </xf>
    <xf numFmtId="0" fontId="20" fillId="0" borderId="0" xfId="0" applyFont="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164" fontId="10" fillId="0" borderId="0" xfId="0" applyNumberFormat="1" applyFont="1" applyAlignment="1">
      <alignment horizontal="left" vertical="top" wrapText="1"/>
    </xf>
    <xf numFmtId="0" fontId="7" fillId="2" borderId="11" xfId="0" applyFont="1" applyFill="1" applyBorder="1" applyAlignment="1">
      <alignment horizontal="center" vertical="center"/>
    </xf>
    <xf numFmtId="0" fontId="21" fillId="0" borderId="0" xfId="0" applyFont="1" applyAlignment="1">
      <alignment horizontal="center" vertical="center" wrapText="1"/>
    </xf>
    <xf numFmtId="0" fontId="22" fillId="0" borderId="0" xfId="0" applyFont="1" applyAlignment="1">
      <alignment horizontal="left" vertical="center" wrapText="1"/>
    </xf>
    <xf numFmtId="0" fontId="11" fillId="3" borderId="11" xfId="0" applyFont="1" applyFill="1" applyBorder="1" applyAlignment="1">
      <alignment horizontal="right"/>
    </xf>
    <xf numFmtId="0" fontId="10" fillId="0" borderId="0" xfId="0" applyFont="1" applyAlignment="1">
      <alignment horizontal="left" vertical="center"/>
    </xf>
    <xf numFmtId="0" fontId="11" fillId="0" borderId="0" xfId="0" applyFont="1" applyAlignment="1">
      <alignment horizontal="right" vertical="center" wrapText="1"/>
    </xf>
    <xf numFmtId="0" fontId="33" fillId="9" borderId="30" xfId="0" applyFont="1" applyFill="1" applyBorder="1" applyAlignment="1">
      <alignment horizontal="center" vertical="center" wrapText="1"/>
    </xf>
    <xf numFmtId="0" fontId="0" fillId="0" borderId="21" xfId="0" applyBorder="1"/>
    <xf numFmtId="0" fontId="0" fillId="0" borderId="23" xfId="0" applyBorder="1"/>
    <xf numFmtId="0" fontId="27" fillId="6" borderId="32" xfId="0" applyFont="1" applyFill="1" applyBorder="1" applyAlignment="1">
      <alignment horizontal="center" vertical="center" wrapText="1"/>
    </xf>
    <xf numFmtId="0" fontId="27" fillId="6" borderId="33" xfId="0" applyFont="1" applyFill="1" applyBorder="1" applyAlignment="1">
      <alignment horizontal="center" vertical="center" wrapText="1"/>
    </xf>
    <xf numFmtId="0" fontId="0" fillId="0" borderId="29" xfId="0" applyBorder="1"/>
    <xf numFmtId="0" fontId="30" fillId="9" borderId="30" xfId="0" applyFont="1" applyFill="1" applyBorder="1" applyAlignment="1">
      <alignment vertical="center" wrapText="1"/>
    </xf>
    <xf numFmtId="0" fontId="36" fillId="7" borderId="30" xfId="0" applyFont="1" applyFill="1" applyBorder="1" applyAlignment="1">
      <alignment horizontal="left" vertical="center" wrapText="1"/>
    </xf>
    <xf numFmtId="0" fontId="0" fillId="0" borderId="16" xfId="0" applyBorder="1"/>
    <xf numFmtId="0" fontId="0" fillId="0" borderId="25" xfId="0" applyBorder="1"/>
    <xf numFmtId="0" fontId="28" fillId="7" borderId="31" xfId="0" applyFont="1" applyFill="1" applyBorder="1" applyAlignment="1">
      <alignment horizontal="left" vertical="center" wrapText="1"/>
    </xf>
    <xf numFmtId="0" fontId="0" fillId="0" borderId="17" xfId="0" applyBorder="1"/>
    <xf numFmtId="0" fontId="26" fillId="6" borderId="13" xfId="0" applyFont="1" applyFill="1" applyBorder="1" applyAlignment="1">
      <alignment horizontal="center" vertical="center" wrapText="1"/>
    </xf>
    <xf numFmtId="0" fontId="0" fillId="0" borderId="27" xfId="0" applyBorder="1"/>
  </cellXfs>
  <cellStyles count="1">
    <cellStyle name="Normal" xfId="0" builtinId="0"/>
  </cellStyles>
  <dxfs count="44">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D8D8D8"/>
          <bgColor rgb="FFD8D8D8"/>
        </patternFill>
      </fill>
    </dxf>
    <dxf>
      <fill>
        <patternFill patternType="solid">
          <fgColor rgb="FFD8D8D8"/>
          <bgColor rgb="FFD8D8D8"/>
        </patternFill>
      </fill>
    </dxf>
    <dxf>
      <fill>
        <patternFill patternType="solid">
          <fgColor rgb="FFA8D08D"/>
          <bgColor rgb="FFA8D08D"/>
        </patternFill>
      </fill>
    </dxf>
    <dxf>
      <fill>
        <patternFill patternType="solid">
          <fgColor rgb="FFFF0000"/>
          <bgColor rgb="FFFF0000"/>
        </patternFill>
      </fill>
    </dxf>
    <dxf>
      <fill>
        <patternFill patternType="solid">
          <fgColor rgb="FFD8D8D8"/>
          <bgColor rgb="FFD8D8D8"/>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0</xdr:rowOff>
    </xdr:from>
    <xdr:ext cx="2333625" cy="495300"/>
    <xdr:pic>
      <xdr:nvPicPr>
        <xdr:cNvPr id="2" name="image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3" workbookViewId="0">
      <selection activeCell="A5" sqref="A5:F5"/>
    </sheetView>
  </sheetViews>
  <sheetFormatPr baseColWidth="10" defaultColWidth="12.625" defaultRowHeight="15" customHeight="1"/>
  <cols>
    <col min="1" max="1" width="5" customWidth="1"/>
    <col min="2" max="2" width="17.5" customWidth="1"/>
    <col min="3" max="3" width="21.625" customWidth="1"/>
    <col min="4" max="5" width="14.375" customWidth="1"/>
    <col min="6" max="8" width="32.875" customWidth="1"/>
    <col min="9" max="26" width="9.375" customWidth="1"/>
  </cols>
  <sheetData>
    <row r="1" spans="1:26" ht="30" customHeight="1">
      <c r="A1" s="94" t="s">
        <v>0</v>
      </c>
      <c r="B1" s="92"/>
      <c r="C1" s="92"/>
      <c r="D1" s="92"/>
      <c r="E1" s="92"/>
      <c r="F1" s="92"/>
      <c r="G1" s="92"/>
      <c r="H1" s="92"/>
      <c r="I1" s="1"/>
      <c r="J1" s="1"/>
      <c r="K1" s="1"/>
      <c r="L1" s="1"/>
      <c r="M1" s="1"/>
      <c r="N1" s="1"/>
      <c r="O1" s="1"/>
      <c r="P1" s="1"/>
      <c r="Q1" s="1"/>
      <c r="R1" s="1"/>
      <c r="S1" s="1"/>
      <c r="T1" s="1"/>
      <c r="U1" s="1"/>
      <c r="V1" s="1"/>
      <c r="W1" s="1"/>
      <c r="X1" s="1"/>
      <c r="Y1" s="1"/>
      <c r="Z1" s="1"/>
    </row>
    <row r="2" spans="1:26" ht="14.25" customHeight="1">
      <c r="A2" s="1"/>
      <c r="B2" s="1"/>
      <c r="C2" s="1"/>
      <c r="D2" s="1"/>
      <c r="E2" s="1"/>
      <c r="F2" s="1"/>
      <c r="G2" s="1"/>
      <c r="H2" s="1"/>
      <c r="I2" s="1"/>
      <c r="J2" s="1"/>
      <c r="K2" s="1"/>
      <c r="L2" s="1"/>
      <c r="M2" s="1"/>
      <c r="N2" s="1"/>
      <c r="O2" s="1"/>
      <c r="P2" s="1"/>
      <c r="Q2" s="1"/>
      <c r="R2" s="1"/>
      <c r="S2" s="1"/>
      <c r="T2" s="1"/>
      <c r="U2" s="1"/>
      <c r="V2" s="1"/>
      <c r="W2" s="1"/>
      <c r="X2" s="1"/>
      <c r="Y2" s="1"/>
      <c r="Z2" s="1"/>
    </row>
    <row r="3" spans="1:26" ht="25.5" customHeight="1">
      <c r="A3" s="1"/>
      <c r="B3" s="1"/>
      <c r="C3" s="2" t="s">
        <v>1</v>
      </c>
      <c r="D3" s="1"/>
      <c r="E3" s="1"/>
      <c r="F3" s="3" t="s">
        <v>2</v>
      </c>
      <c r="G3" s="3" t="s">
        <v>3</v>
      </c>
      <c r="H3" s="3"/>
      <c r="I3" s="1"/>
      <c r="J3" s="1"/>
      <c r="K3" s="1"/>
      <c r="L3" s="1"/>
      <c r="M3" s="1"/>
      <c r="N3" s="1"/>
      <c r="O3" s="1"/>
      <c r="P3" s="1"/>
      <c r="Q3" s="1"/>
      <c r="R3" s="1"/>
      <c r="S3" s="1"/>
      <c r="T3" s="1"/>
      <c r="U3" s="1"/>
      <c r="V3" s="1"/>
      <c r="W3" s="1"/>
      <c r="X3" s="1"/>
      <c r="Y3" s="1"/>
      <c r="Z3" s="1"/>
    </row>
    <row r="4" spans="1:26" ht="13.5" customHeight="1">
      <c r="A4" s="1"/>
      <c r="B4" s="1"/>
      <c r="C4" s="2" t="s">
        <v>4</v>
      </c>
      <c r="D4" s="4">
        <v>46178</v>
      </c>
      <c r="E4" s="1"/>
      <c r="F4" s="1"/>
      <c r="G4" s="1"/>
      <c r="H4" s="1"/>
      <c r="I4" s="1"/>
      <c r="J4" s="1"/>
      <c r="K4" s="1"/>
      <c r="L4" s="1"/>
      <c r="M4" s="1"/>
      <c r="N4" s="1"/>
      <c r="O4" s="1"/>
      <c r="P4" s="1"/>
      <c r="Q4" s="1"/>
      <c r="R4" s="1"/>
      <c r="S4" s="1"/>
      <c r="T4" s="1"/>
      <c r="U4" s="1"/>
      <c r="V4" s="1"/>
      <c r="W4" s="1"/>
      <c r="X4" s="1"/>
      <c r="Y4" s="1"/>
      <c r="Z4" s="1"/>
    </row>
    <row r="5" spans="1:26" ht="15" customHeight="1">
      <c r="A5" s="91" t="s">
        <v>5</v>
      </c>
      <c r="B5" s="92"/>
      <c r="C5" s="92"/>
      <c r="D5" s="92"/>
      <c r="E5" s="92"/>
      <c r="F5" s="92"/>
      <c r="G5" s="6"/>
      <c r="H5" s="2"/>
      <c r="I5" s="2"/>
      <c r="J5" s="2"/>
      <c r="K5" s="2"/>
      <c r="L5" s="2"/>
      <c r="M5" s="2"/>
      <c r="N5" s="2"/>
      <c r="O5" s="2"/>
      <c r="P5" s="2"/>
      <c r="Q5" s="2"/>
      <c r="R5" s="2"/>
      <c r="S5" s="2"/>
      <c r="T5" s="2"/>
      <c r="U5" s="2"/>
      <c r="V5" s="2"/>
      <c r="W5" s="2"/>
      <c r="X5" s="2"/>
      <c r="Y5" s="2"/>
      <c r="Z5" s="2"/>
    </row>
    <row r="6" spans="1:26" ht="6" customHeight="1">
      <c r="A6" s="5"/>
      <c r="B6" s="7"/>
      <c r="C6" s="7"/>
      <c r="D6" s="7"/>
      <c r="E6" s="7"/>
      <c r="F6" s="7"/>
      <c r="G6" s="8"/>
      <c r="H6" s="1"/>
      <c r="I6" s="1"/>
      <c r="J6" s="1"/>
      <c r="K6" s="1"/>
      <c r="L6" s="1"/>
      <c r="M6" s="1"/>
      <c r="N6" s="1"/>
      <c r="O6" s="1"/>
      <c r="P6" s="1"/>
      <c r="Q6" s="1"/>
      <c r="R6" s="1"/>
      <c r="S6" s="1"/>
      <c r="T6" s="1"/>
      <c r="U6" s="1"/>
      <c r="V6" s="1"/>
      <c r="W6" s="1"/>
      <c r="X6" s="1"/>
      <c r="Y6" s="1"/>
      <c r="Z6" s="1"/>
    </row>
    <row r="7" spans="1:26" ht="15" customHeight="1">
      <c r="A7" s="93" t="s">
        <v>6</v>
      </c>
      <c r="B7" s="92"/>
      <c r="C7" s="92"/>
      <c r="D7" s="92"/>
      <c r="E7" s="92"/>
      <c r="F7" s="92"/>
      <c r="G7" s="6"/>
      <c r="H7" s="2"/>
      <c r="I7" s="2"/>
      <c r="J7" s="2"/>
      <c r="K7" s="2"/>
      <c r="L7" s="2"/>
      <c r="M7" s="2"/>
      <c r="N7" s="2"/>
      <c r="O7" s="2"/>
      <c r="P7" s="2"/>
      <c r="Q7" s="2"/>
      <c r="R7" s="2"/>
      <c r="S7" s="2"/>
      <c r="T7" s="2"/>
      <c r="U7" s="2"/>
      <c r="V7" s="2"/>
      <c r="W7" s="2"/>
      <c r="X7" s="2"/>
      <c r="Y7" s="2"/>
      <c r="Z7" s="2"/>
    </row>
    <row r="8" spans="1:26" ht="24.75" customHeight="1">
      <c r="A8" s="3" t="s">
        <v>7</v>
      </c>
      <c r="B8" s="9" t="s">
        <v>8</v>
      </c>
      <c r="C8" s="3" t="s">
        <v>9</v>
      </c>
      <c r="D8" s="3" t="s">
        <v>10</v>
      </c>
      <c r="E8" s="3" t="s">
        <v>11</v>
      </c>
      <c r="F8" s="3" t="s">
        <v>12</v>
      </c>
      <c r="G8" s="3" t="s">
        <v>13</v>
      </c>
      <c r="H8" s="3" t="s">
        <v>14</v>
      </c>
      <c r="I8" s="1"/>
      <c r="J8" s="1"/>
      <c r="K8" s="1"/>
      <c r="L8" s="1"/>
      <c r="M8" s="1"/>
      <c r="N8" s="1"/>
      <c r="O8" s="1"/>
      <c r="P8" s="1"/>
      <c r="Q8" s="1"/>
      <c r="R8" s="1"/>
      <c r="S8" s="1"/>
      <c r="T8" s="1"/>
      <c r="U8" s="1"/>
      <c r="V8" s="1"/>
      <c r="W8" s="1"/>
      <c r="X8" s="1"/>
      <c r="Y8" s="1"/>
      <c r="Z8" s="1"/>
    </row>
    <row r="9" spans="1:26" ht="24.75" customHeight="1">
      <c r="A9" s="10">
        <v>1</v>
      </c>
      <c r="B9" s="11" t="s">
        <v>15</v>
      </c>
      <c r="C9" s="12" t="s">
        <v>16</v>
      </c>
      <c r="D9" s="12" t="s">
        <v>17</v>
      </c>
      <c r="E9" s="13">
        <f>'Participant 1'!F16</f>
        <v>16.25</v>
      </c>
      <c r="F9" s="14" t="s">
        <v>18</v>
      </c>
      <c r="G9" s="14" t="s">
        <v>19</v>
      </c>
      <c r="H9" s="14"/>
      <c r="I9" s="1"/>
      <c r="J9" s="1"/>
      <c r="K9" s="1"/>
      <c r="L9" s="1"/>
      <c r="M9" s="1"/>
      <c r="N9" s="1"/>
      <c r="O9" s="1"/>
      <c r="P9" s="1"/>
      <c r="Q9" s="1"/>
      <c r="R9" s="1"/>
      <c r="S9" s="1"/>
      <c r="T9" s="1"/>
      <c r="U9" s="1"/>
      <c r="V9" s="1"/>
      <c r="W9" s="1"/>
      <c r="X9" s="1"/>
      <c r="Y9" s="1"/>
      <c r="Z9" s="1"/>
    </row>
    <row r="10" spans="1:26" ht="24.75" customHeight="1">
      <c r="A10" s="10">
        <v>2</v>
      </c>
      <c r="B10" s="11" t="s">
        <v>20</v>
      </c>
      <c r="C10" s="12" t="s">
        <v>21</v>
      </c>
      <c r="D10" s="12" t="s">
        <v>22</v>
      </c>
      <c r="E10" s="13">
        <f>'Participant 2'!F16</f>
        <v>13.75</v>
      </c>
      <c r="F10" s="15" t="s">
        <v>23</v>
      </c>
      <c r="G10" s="15" t="s">
        <v>24</v>
      </c>
      <c r="H10" s="15"/>
      <c r="I10" s="1"/>
      <c r="J10" s="1"/>
      <c r="K10" s="1"/>
      <c r="L10" s="1"/>
      <c r="M10" s="1"/>
      <c r="N10" s="1"/>
      <c r="O10" s="1"/>
      <c r="P10" s="1"/>
      <c r="Q10" s="1"/>
      <c r="R10" s="1"/>
      <c r="S10" s="1"/>
      <c r="T10" s="1"/>
      <c r="U10" s="1"/>
      <c r="V10" s="1"/>
      <c r="W10" s="1"/>
      <c r="X10" s="1"/>
      <c r="Y10" s="1"/>
      <c r="Z10" s="1"/>
    </row>
    <row r="11" spans="1:26" ht="24.75" customHeight="1">
      <c r="A11" s="10">
        <v>3</v>
      </c>
      <c r="B11" s="11" t="s">
        <v>25</v>
      </c>
      <c r="C11" s="12" t="s">
        <v>26</v>
      </c>
      <c r="D11" s="12" t="s">
        <v>27</v>
      </c>
      <c r="E11" s="13">
        <f>'Participant 3'!F16</f>
        <v>15</v>
      </c>
      <c r="F11" s="15" t="s">
        <v>28</v>
      </c>
      <c r="G11" s="15" t="s">
        <v>29</v>
      </c>
      <c r="H11" s="15"/>
      <c r="I11" s="1"/>
      <c r="J11" s="1"/>
      <c r="K11" s="1"/>
      <c r="L11" s="1"/>
      <c r="M11" s="1"/>
      <c r="N11" s="1"/>
      <c r="O11" s="1"/>
      <c r="P11" s="1"/>
      <c r="Q11" s="1"/>
      <c r="R11" s="1"/>
      <c r="S11" s="1"/>
      <c r="T11" s="1"/>
      <c r="U11" s="1"/>
      <c r="V11" s="1"/>
      <c r="W11" s="1"/>
      <c r="X11" s="1"/>
      <c r="Y11" s="1"/>
      <c r="Z11" s="1"/>
    </row>
    <row r="12" spans="1:26" ht="24.75" customHeight="1">
      <c r="A12" s="10">
        <v>4</v>
      </c>
      <c r="B12" s="11" t="s">
        <v>30</v>
      </c>
      <c r="C12" s="12" t="s">
        <v>31</v>
      </c>
      <c r="D12" s="12" t="s">
        <v>32</v>
      </c>
      <c r="E12" s="13">
        <f>'Participant 4'!F16</f>
        <v>16.25</v>
      </c>
      <c r="F12" s="15" t="s">
        <v>33</v>
      </c>
      <c r="G12" s="15" t="s">
        <v>34</v>
      </c>
      <c r="H12" s="15"/>
      <c r="I12" s="1"/>
      <c r="J12" s="1"/>
      <c r="K12" s="1"/>
      <c r="L12" s="1"/>
      <c r="M12" s="1"/>
      <c r="N12" s="1"/>
      <c r="O12" s="1"/>
      <c r="P12" s="1"/>
      <c r="Q12" s="1"/>
      <c r="R12" s="1"/>
      <c r="S12" s="1"/>
      <c r="T12" s="1"/>
      <c r="U12" s="1"/>
      <c r="V12" s="1"/>
      <c r="W12" s="1"/>
      <c r="X12" s="1"/>
      <c r="Y12" s="1"/>
      <c r="Z12" s="1"/>
    </row>
    <row r="13" spans="1:26" ht="24.75" customHeight="1">
      <c r="A13" s="10">
        <v>5</v>
      </c>
      <c r="B13" s="11" t="s">
        <v>35</v>
      </c>
      <c r="C13" s="12" t="s">
        <v>36</v>
      </c>
      <c r="D13" s="12" t="s">
        <v>37</v>
      </c>
      <c r="E13" s="13">
        <f>'Participant 5'!F16</f>
        <v>17</v>
      </c>
      <c r="F13" s="15" t="s">
        <v>38</v>
      </c>
      <c r="G13" s="15" t="s">
        <v>39</v>
      </c>
      <c r="H13" s="15"/>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6"/>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row r="222" spans="1:26" ht="14.25" customHeight="1"/>
    <row r="223" spans="1:26" ht="14.25" customHeight="1"/>
    <row r="224" spans="1:26"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5:F5"/>
    <mergeCell ref="A7:F7"/>
    <mergeCell ref="A1:H1"/>
  </mergeCells>
  <conditionalFormatting sqref="C9:D13">
    <cfRule type="expression" dxfId="43" priority="1">
      <formula>LEN(TRIM(C9))=0</formula>
    </cfRule>
  </conditionalFormatting>
  <conditionalFormatting sqref="D4">
    <cfRule type="expression" dxfId="42" priority="2">
      <formula>LEN(TRIM(D4))=0</formula>
    </cfRule>
  </conditionalFormatting>
  <conditionalFormatting sqref="E9:E13">
    <cfRule type="cellIs" dxfId="41" priority="3" operator="lessThan">
      <formula>10</formula>
    </cfRule>
    <cfRule type="cellIs" dxfId="40" priority="4" operator="greaterThanOrEqual">
      <formula>10</formula>
    </cfRule>
  </conditionalFormatting>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00"/>
  <sheetViews>
    <sheetView showGridLines="0" tabSelected="1" topLeftCell="C10" workbookViewId="0">
      <selection activeCell="J9" sqref="J9"/>
    </sheetView>
  </sheetViews>
  <sheetFormatPr baseColWidth="10" defaultColWidth="12.625" defaultRowHeight="15" customHeight="1"/>
  <cols>
    <col min="1" max="1" width="4.75" customWidth="1"/>
    <col min="2" max="2" width="42.875" customWidth="1"/>
    <col min="3" max="3" width="1.25" customWidth="1"/>
    <col min="4" max="4" width="54" customWidth="1"/>
    <col min="5" max="5" width="1.25" customWidth="1"/>
    <col min="6" max="7" width="9.125" customWidth="1"/>
    <col min="8" max="8" width="35.125" customWidth="1"/>
    <col min="9" max="9" width="9.125" customWidth="1"/>
    <col min="10" max="10" width="28.875" customWidth="1"/>
    <col min="11" max="11" width="9.125" customWidth="1"/>
    <col min="12" max="12" width="28.875" customWidth="1"/>
  </cols>
  <sheetData>
    <row r="1" spans="1:27" ht="39" customHeight="1">
      <c r="A1" s="100" t="s">
        <v>40</v>
      </c>
      <c r="B1" s="92"/>
      <c r="C1" s="92"/>
      <c r="D1" s="92"/>
      <c r="E1" s="92"/>
      <c r="F1" s="92"/>
      <c r="G1" s="92"/>
      <c r="H1" s="92"/>
      <c r="I1" s="92"/>
      <c r="J1" s="92"/>
      <c r="K1" s="92"/>
      <c r="L1" s="92"/>
      <c r="M1" s="17"/>
      <c r="N1" s="17"/>
      <c r="O1" s="17"/>
      <c r="P1" s="17"/>
      <c r="Q1" s="17"/>
      <c r="R1" s="17"/>
      <c r="S1" s="17"/>
      <c r="T1" s="17"/>
      <c r="U1" s="17"/>
      <c r="V1" s="17"/>
      <c r="W1" s="17"/>
      <c r="X1" s="17"/>
      <c r="Y1" s="17"/>
      <c r="Z1" s="17"/>
      <c r="AA1" s="17"/>
    </row>
    <row r="2" spans="1:27" ht="63" customHeight="1">
      <c r="A2" s="97" t="s">
        <v>41</v>
      </c>
      <c r="B2" s="92"/>
      <c r="C2" s="92"/>
      <c r="D2" s="92"/>
      <c r="E2" s="92"/>
      <c r="F2" s="92"/>
      <c r="G2" s="92"/>
      <c r="H2" s="92"/>
      <c r="I2" s="92"/>
      <c r="J2" s="92"/>
      <c r="K2" s="92"/>
      <c r="L2" s="92"/>
      <c r="M2" s="17"/>
      <c r="N2" s="17"/>
      <c r="O2" s="17"/>
      <c r="P2" s="17"/>
      <c r="Q2" s="17"/>
      <c r="R2" s="17"/>
      <c r="S2" s="17"/>
      <c r="T2" s="17"/>
      <c r="U2" s="17"/>
      <c r="V2" s="17"/>
      <c r="W2" s="17"/>
      <c r="X2" s="17"/>
      <c r="Y2" s="17"/>
      <c r="Z2" s="17"/>
      <c r="AA2" s="17"/>
    </row>
    <row r="3" spans="1:27" ht="14.25" customHeight="1">
      <c r="A3" s="18"/>
      <c r="B3" s="19" t="s">
        <v>42</v>
      </c>
      <c r="C3" s="20"/>
      <c r="D3" s="21" t="str">
        <f>IF('Ordre de passage'!C9="","",'Ordre de passage'!C9)</f>
        <v>AHAMADA BOURHANE</v>
      </c>
      <c r="E3" s="19"/>
      <c r="F3" s="95" t="s">
        <v>43</v>
      </c>
      <c r="G3" s="92"/>
      <c r="H3" s="22">
        <f>IF('Ordre de passage'!D4="","",'Ordre de passage'!D4)</f>
        <v>46178</v>
      </c>
      <c r="I3" s="1"/>
      <c r="J3" s="105" t="s">
        <v>44</v>
      </c>
      <c r="K3" s="92"/>
      <c r="L3" s="92"/>
      <c r="M3" s="17"/>
      <c r="N3" s="17"/>
      <c r="O3" s="17"/>
      <c r="P3" s="17"/>
      <c r="Q3" s="17"/>
      <c r="R3" s="17"/>
      <c r="S3" s="17"/>
      <c r="T3" s="17"/>
      <c r="U3" s="17"/>
      <c r="V3" s="17"/>
      <c r="W3" s="17"/>
      <c r="X3" s="17"/>
      <c r="Y3" s="17"/>
      <c r="Z3" s="17"/>
      <c r="AA3" s="17"/>
    </row>
    <row r="4" spans="1:27" ht="14.25" customHeight="1">
      <c r="A4" s="18"/>
      <c r="B4" s="19" t="s">
        <v>45</v>
      </c>
      <c r="C4" s="23"/>
      <c r="D4" s="21" t="str">
        <f>IF('Ordre de passage'!D9="","",'Ordre de passage'!D9)</f>
        <v>Soilihihe</v>
      </c>
      <c r="E4" s="18"/>
      <c r="F4" s="18"/>
      <c r="H4" s="24"/>
      <c r="I4" s="24"/>
      <c r="J4" s="103" t="s">
        <v>46</v>
      </c>
      <c r="K4" s="92"/>
      <c r="L4" s="92"/>
      <c r="M4" s="17"/>
      <c r="N4" s="17"/>
      <c r="O4" s="17"/>
      <c r="P4" s="17"/>
      <c r="Q4" s="17"/>
      <c r="R4" s="17"/>
      <c r="S4" s="17"/>
      <c r="T4" s="17"/>
      <c r="U4" s="17"/>
      <c r="V4" s="17"/>
      <c r="W4" s="17"/>
      <c r="X4" s="17"/>
      <c r="Y4" s="17"/>
      <c r="Z4" s="17"/>
      <c r="AA4" s="17"/>
    </row>
    <row r="5" spans="1:27" ht="14.25" customHeight="1">
      <c r="A5" s="25"/>
      <c r="B5" s="19" t="s">
        <v>47</v>
      </c>
      <c r="C5" s="20"/>
      <c r="D5" s="21" t="str">
        <f>IF('Ordre de passage'!B9="","",'Ordre de passage'!B9)</f>
        <v>09:00 - 10:00</v>
      </c>
      <c r="E5" s="26"/>
      <c r="F5" s="26"/>
      <c r="G5" s="26"/>
      <c r="H5" s="26"/>
      <c r="I5" s="1"/>
      <c r="J5" s="17"/>
      <c r="K5" s="17"/>
      <c r="L5" s="17"/>
      <c r="M5" s="17"/>
      <c r="N5" s="17"/>
      <c r="O5" s="17"/>
      <c r="P5" s="17"/>
      <c r="Q5" s="17"/>
      <c r="R5" s="17"/>
      <c r="S5" s="17"/>
      <c r="T5" s="17"/>
      <c r="U5" s="17"/>
      <c r="V5" s="17"/>
      <c r="W5" s="17"/>
      <c r="X5" s="17"/>
      <c r="Y5" s="17"/>
      <c r="Z5" s="17"/>
      <c r="AA5" s="17"/>
    </row>
    <row r="6" spans="1:27" ht="48.75" customHeight="1">
      <c r="A6" s="27"/>
      <c r="B6" s="28" t="s">
        <v>48</v>
      </c>
      <c r="C6" s="28"/>
      <c r="D6" s="28" t="s">
        <v>49</v>
      </c>
      <c r="E6" s="28"/>
      <c r="F6" s="29" t="s">
        <v>50</v>
      </c>
      <c r="G6" s="30" t="s">
        <v>51</v>
      </c>
      <c r="H6" s="30" t="s">
        <v>52</v>
      </c>
      <c r="I6" s="30" t="s">
        <v>53</v>
      </c>
      <c r="J6" s="30" t="s">
        <v>54</v>
      </c>
      <c r="K6" s="30" t="s">
        <v>55</v>
      </c>
      <c r="L6" s="30" t="s">
        <v>56</v>
      </c>
      <c r="M6" s="17"/>
      <c r="N6" s="17"/>
      <c r="O6" s="17"/>
      <c r="P6" s="17"/>
      <c r="Q6" s="17"/>
      <c r="R6" s="17"/>
      <c r="S6" s="17"/>
      <c r="T6" s="17"/>
      <c r="U6" s="17"/>
      <c r="V6" s="17"/>
      <c r="W6" s="17"/>
      <c r="X6" s="17"/>
      <c r="Y6" s="17"/>
      <c r="Z6" s="17"/>
      <c r="AA6" s="17"/>
    </row>
    <row r="7" spans="1:27" ht="60" customHeight="1">
      <c r="A7" s="31" t="s">
        <v>57</v>
      </c>
      <c r="B7" s="32" t="s">
        <v>58</v>
      </c>
      <c r="C7" s="33"/>
      <c r="D7" s="34" t="s">
        <v>59</v>
      </c>
      <c r="E7" s="35"/>
      <c r="F7" s="36">
        <v>2</v>
      </c>
      <c r="G7" s="36">
        <v>2</v>
      </c>
      <c r="H7" s="37" t="s">
        <v>60</v>
      </c>
      <c r="I7" s="36">
        <v>2</v>
      </c>
      <c r="J7" s="37" t="s">
        <v>61</v>
      </c>
      <c r="K7" s="36"/>
      <c r="L7" s="37"/>
      <c r="M7" s="17"/>
      <c r="N7" s="17"/>
      <c r="O7" s="17"/>
      <c r="P7" s="17"/>
      <c r="Q7" s="17"/>
      <c r="R7" s="17"/>
      <c r="S7" s="17"/>
      <c r="T7" s="17"/>
      <c r="U7" s="17"/>
      <c r="V7" s="17"/>
      <c r="W7" s="17"/>
      <c r="X7" s="17"/>
      <c r="Y7" s="17"/>
      <c r="Z7" s="17"/>
      <c r="AA7" s="17"/>
    </row>
    <row r="8" spans="1:27" ht="59.25" customHeight="1">
      <c r="A8" s="31" t="s">
        <v>62</v>
      </c>
      <c r="B8" s="38" t="s">
        <v>63</v>
      </c>
      <c r="C8" s="39"/>
      <c r="D8" s="40" t="s">
        <v>64</v>
      </c>
      <c r="E8" s="35"/>
      <c r="F8" s="36">
        <v>2</v>
      </c>
      <c r="G8" s="36">
        <v>1.5</v>
      </c>
      <c r="H8" s="37" t="s">
        <v>65</v>
      </c>
      <c r="I8" s="36">
        <v>1.5</v>
      </c>
      <c r="J8" s="37" t="s">
        <v>66</v>
      </c>
      <c r="K8" s="36"/>
      <c r="L8" s="37"/>
      <c r="M8" s="17"/>
      <c r="N8" s="17"/>
      <c r="O8" s="17"/>
      <c r="P8" s="17"/>
      <c r="Q8" s="17"/>
      <c r="R8" s="17"/>
      <c r="S8" s="17"/>
      <c r="T8" s="17"/>
      <c r="U8" s="17"/>
      <c r="V8" s="17"/>
      <c r="W8" s="17"/>
      <c r="X8" s="17"/>
      <c r="Y8" s="17"/>
      <c r="Z8" s="17"/>
      <c r="AA8" s="17"/>
    </row>
    <row r="9" spans="1:27" ht="99" customHeight="1">
      <c r="A9" s="31" t="s">
        <v>67</v>
      </c>
      <c r="B9" s="38" t="s">
        <v>68</v>
      </c>
      <c r="C9" s="39"/>
      <c r="D9" s="40" t="s">
        <v>69</v>
      </c>
      <c r="E9" s="35"/>
      <c r="F9" s="36">
        <v>2</v>
      </c>
      <c r="G9" s="36">
        <v>2</v>
      </c>
      <c r="H9" s="37" t="s">
        <v>70</v>
      </c>
      <c r="I9" s="36">
        <v>1.5</v>
      </c>
      <c r="J9" s="37" t="s">
        <v>71</v>
      </c>
      <c r="K9" s="36"/>
      <c r="L9" s="37"/>
      <c r="M9" s="17"/>
      <c r="N9" s="17"/>
      <c r="O9" s="17"/>
      <c r="P9" s="17"/>
      <c r="Q9" s="17"/>
      <c r="R9" s="17"/>
      <c r="S9" s="17"/>
      <c r="T9" s="17"/>
      <c r="U9" s="17"/>
      <c r="V9" s="17"/>
      <c r="W9" s="17"/>
      <c r="X9" s="17"/>
      <c r="Y9" s="17"/>
      <c r="Z9" s="17"/>
      <c r="AA9" s="17"/>
    </row>
    <row r="10" spans="1:27" ht="71.25" customHeight="1">
      <c r="A10" s="31" t="s">
        <v>72</v>
      </c>
      <c r="B10" s="38" t="s">
        <v>73</v>
      </c>
      <c r="C10" s="39"/>
      <c r="D10" s="40" t="s">
        <v>74</v>
      </c>
      <c r="E10" s="35"/>
      <c r="F10" s="36">
        <v>2</v>
      </c>
      <c r="G10" s="36">
        <v>1.5</v>
      </c>
      <c r="H10" s="37" t="s">
        <v>75</v>
      </c>
      <c r="I10" s="36">
        <v>1.5</v>
      </c>
      <c r="J10" s="37" t="s">
        <v>76</v>
      </c>
      <c r="K10" s="36"/>
      <c r="L10" s="37"/>
      <c r="M10" s="17"/>
      <c r="N10" s="17"/>
      <c r="O10" s="17"/>
      <c r="P10" s="17"/>
      <c r="Q10" s="17"/>
      <c r="R10" s="17"/>
      <c r="S10" s="17"/>
      <c r="T10" s="17"/>
      <c r="U10" s="17"/>
      <c r="V10" s="17"/>
      <c r="W10" s="17"/>
      <c r="X10" s="17"/>
      <c r="Y10" s="17"/>
      <c r="Z10" s="17"/>
      <c r="AA10" s="17"/>
    </row>
    <row r="11" spans="1:27" ht="72" customHeight="1">
      <c r="A11" s="31" t="s">
        <v>77</v>
      </c>
      <c r="B11" s="38" t="s">
        <v>78</v>
      </c>
      <c r="C11" s="39"/>
      <c r="D11" s="40" t="s">
        <v>79</v>
      </c>
      <c r="E11" s="35"/>
      <c r="F11" s="36">
        <v>2</v>
      </c>
      <c r="G11" s="36">
        <v>1.5</v>
      </c>
      <c r="H11" s="37" t="s">
        <v>80</v>
      </c>
      <c r="I11" s="36">
        <v>1.5</v>
      </c>
      <c r="J11" s="37" t="s">
        <v>81</v>
      </c>
      <c r="K11" s="36"/>
      <c r="L11" s="37"/>
      <c r="M11" s="17"/>
      <c r="N11" s="17"/>
      <c r="O11" s="17"/>
      <c r="P11" s="17"/>
      <c r="Q11" s="17"/>
      <c r="R11" s="17"/>
      <c r="S11" s="17"/>
      <c r="T11" s="17"/>
      <c r="U11" s="17"/>
      <c r="V11" s="17"/>
      <c r="W11" s="17"/>
      <c r="X11" s="17"/>
      <c r="Y11" s="17"/>
      <c r="Z11" s="17"/>
      <c r="AA11" s="17"/>
    </row>
    <row r="12" spans="1:27" ht="82.5" customHeight="1">
      <c r="A12" s="41" t="s">
        <v>82</v>
      </c>
      <c r="B12" s="38" t="s">
        <v>83</v>
      </c>
      <c r="C12" s="39"/>
      <c r="D12" s="40" t="s">
        <v>84</v>
      </c>
      <c r="E12" s="35"/>
      <c r="F12" s="36">
        <v>2</v>
      </c>
      <c r="G12" s="36">
        <v>1.5</v>
      </c>
      <c r="H12" s="37" t="s">
        <v>85</v>
      </c>
      <c r="I12" s="36">
        <v>1.5</v>
      </c>
      <c r="J12" s="37" t="s">
        <v>86</v>
      </c>
      <c r="K12" s="36"/>
      <c r="L12" s="37"/>
      <c r="M12" s="17"/>
      <c r="N12" s="17"/>
      <c r="O12" s="17"/>
      <c r="P12" s="17"/>
      <c r="Q12" s="17"/>
      <c r="R12" s="17"/>
      <c r="S12" s="17"/>
      <c r="T12" s="17"/>
      <c r="U12" s="17"/>
      <c r="V12" s="17"/>
      <c r="W12" s="17"/>
      <c r="X12" s="17"/>
      <c r="Y12" s="17"/>
      <c r="Z12" s="17"/>
      <c r="AA12" s="17"/>
    </row>
    <row r="13" spans="1:27" ht="83.25" customHeight="1">
      <c r="A13" s="42" t="s">
        <v>87</v>
      </c>
      <c r="B13" s="38" t="s">
        <v>88</v>
      </c>
      <c r="C13" s="39"/>
      <c r="D13" s="40" t="s">
        <v>89</v>
      </c>
      <c r="E13" s="43"/>
      <c r="F13" s="36">
        <v>5</v>
      </c>
      <c r="G13" s="36">
        <v>4</v>
      </c>
      <c r="H13" s="37" t="s">
        <v>90</v>
      </c>
      <c r="I13" s="36">
        <v>3</v>
      </c>
      <c r="J13" s="37" t="s">
        <v>91</v>
      </c>
      <c r="K13" s="36"/>
      <c r="L13" s="37"/>
      <c r="M13" s="17"/>
      <c r="N13" s="17"/>
      <c r="O13" s="17"/>
      <c r="P13" s="17"/>
      <c r="Q13" s="17"/>
      <c r="R13" s="17"/>
      <c r="S13" s="17"/>
      <c r="T13" s="17"/>
      <c r="U13" s="17"/>
      <c r="V13" s="17"/>
      <c r="W13" s="17"/>
      <c r="X13" s="17"/>
      <c r="Y13" s="17"/>
      <c r="Z13" s="17"/>
      <c r="AA13" s="17"/>
    </row>
    <row r="14" spans="1:27" ht="39.75" customHeight="1">
      <c r="A14" s="42" t="s">
        <v>92</v>
      </c>
      <c r="B14" s="38" t="s">
        <v>93</v>
      </c>
      <c r="C14" s="39"/>
      <c r="D14" s="40" t="s">
        <v>94</v>
      </c>
      <c r="E14" s="43"/>
      <c r="F14" s="36">
        <v>3</v>
      </c>
      <c r="G14" s="36">
        <v>3</v>
      </c>
      <c r="H14" s="37" t="s">
        <v>95</v>
      </c>
      <c r="I14" s="36">
        <v>3</v>
      </c>
      <c r="J14" s="37" t="s">
        <v>96</v>
      </c>
      <c r="K14" s="36"/>
      <c r="L14" s="37"/>
      <c r="M14" s="17"/>
      <c r="N14" s="17"/>
      <c r="O14" s="17"/>
      <c r="P14" s="17"/>
      <c r="Q14" s="17"/>
      <c r="R14" s="17"/>
      <c r="S14" s="17"/>
      <c r="T14" s="17"/>
      <c r="U14" s="17"/>
      <c r="V14" s="17"/>
      <c r="W14" s="17"/>
      <c r="X14" s="17"/>
      <c r="Y14" s="17"/>
      <c r="Z14" s="17"/>
      <c r="AA14" s="17"/>
    </row>
    <row r="15" spans="1:27" ht="27.75" customHeight="1">
      <c r="A15" s="101" t="s">
        <v>97</v>
      </c>
      <c r="B15" s="92"/>
      <c r="C15" s="92"/>
      <c r="D15" s="92"/>
      <c r="E15" s="44"/>
      <c r="F15" s="45">
        <f>SUM(F7:F14)</f>
        <v>20</v>
      </c>
      <c r="G15" s="46">
        <f>SUM(G7:G14)</f>
        <v>17</v>
      </c>
      <c r="H15" s="17"/>
      <c r="I15" s="46">
        <f>SUM(I7:I14)</f>
        <v>15.5</v>
      </c>
      <c r="J15" s="17"/>
      <c r="K15" s="46"/>
      <c r="L15" s="17"/>
      <c r="M15" s="17"/>
      <c r="N15" s="17"/>
      <c r="O15" s="17"/>
      <c r="P15" s="17"/>
      <c r="Q15" s="17"/>
      <c r="R15" s="17"/>
      <c r="S15" s="17"/>
      <c r="T15" s="17"/>
      <c r="U15" s="17"/>
      <c r="V15" s="17"/>
      <c r="W15" s="17"/>
      <c r="X15" s="17"/>
      <c r="Y15" s="17"/>
      <c r="Z15" s="17"/>
      <c r="AA15" s="17"/>
    </row>
    <row r="16" spans="1:27" ht="34.5" customHeight="1">
      <c r="A16" s="25"/>
      <c r="B16" s="98" t="s">
        <v>98</v>
      </c>
      <c r="C16" s="92"/>
      <c r="D16" s="92"/>
      <c r="E16" s="47"/>
      <c r="F16" s="48">
        <f>(G15+I15+K15)/2</f>
        <v>16.25</v>
      </c>
      <c r="G16" s="49"/>
      <c r="H16" s="49"/>
      <c r="I16" s="17"/>
      <c r="J16" s="17"/>
      <c r="K16" s="17"/>
      <c r="L16" s="17"/>
      <c r="M16" s="17"/>
      <c r="N16" s="17"/>
      <c r="O16" s="17"/>
      <c r="P16" s="17"/>
      <c r="Q16" s="17"/>
      <c r="R16" s="17"/>
      <c r="S16" s="17"/>
      <c r="T16" s="17"/>
      <c r="U16" s="17"/>
      <c r="V16" s="17"/>
      <c r="W16" s="17"/>
      <c r="X16" s="17"/>
      <c r="Y16" s="17"/>
      <c r="Z16" s="17"/>
      <c r="AA16" s="17"/>
    </row>
    <row r="17" spans="1:27" ht="24.75" customHeight="1">
      <c r="A17" s="25"/>
      <c r="C17" s="50"/>
      <c r="D17" s="50"/>
      <c r="E17" s="51"/>
      <c r="F17" s="102" t="s">
        <v>99</v>
      </c>
      <c r="G17" s="92"/>
      <c r="H17" s="49"/>
      <c r="I17" s="17"/>
      <c r="J17" s="17"/>
      <c r="K17" s="17"/>
      <c r="L17" s="17"/>
      <c r="M17" s="17"/>
      <c r="N17" s="17"/>
      <c r="O17" s="17"/>
      <c r="P17" s="17"/>
      <c r="Q17" s="17"/>
      <c r="R17" s="17"/>
      <c r="S17" s="17"/>
      <c r="T17" s="17"/>
      <c r="U17" s="17"/>
      <c r="V17" s="17"/>
      <c r="W17" s="17"/>
      <c r="X17" s="17"/>
      <c r="Y17" s="17"/>
      <c r="Z17" s="17"/>
      <c r="AA17" s="17"/>
    </row>
    <row r="18" spans="1:27" ht="27.75" customHeight="1">
      <c r="A18" s="25"/>
      <c r="B18" s="50" t="s">
        <v>1</v>
      </c>
      <c r="C18" s="50"/>
      <c r="G18" s="52"/>
      <c r="H18" s="52"/>
      <c r="I18" s="17"/>
      <c r="J18" s="17"/>
      <c r="K18" s="17"/>
      <c r="L18" s="17"/>
      <c r="M18" s="17"/>
      <c r="N18" s="17"/>
      <c r="O18" s="17"/>
      <c r="P18" s="17"/>
      <c r="Q18" s="17"/>
      <c r="R18" s="17"/>
      <c r="S18" s="17"/>
      <c r="T18" s="17"/>
      <c r="U18" s="17"/>
      <c r="V18" s="17"/>
      <c r="W18" s="17"/>
      <c r="X18" s="17"/>
      <c r="Y18" s="17"/>
      <c r="Z18" s="17"/>
      <c r="AA18" s="17"/>
    </row>
    <row r="19" spans="1:27" ht="27.75" customHeight="1">
      <c r="A19" s="25"/>
      <c r="B19" s="21" t="str">
        <f>'Ordre de passage'!F3</f>
        <v>Tom FOURNAISE</v>
      </c>
      <c r="D19" s="21" t="str">
        <f>'Ordre de passage'!G3</f>
        <v>Djody BENCHADI</v>
      </c>
      <c r="E19" s="21"/>
      <c r="F19" s="98">
        <f>'Ordre de passage'!H3</f>
        <v>0</v>
      </c>
      <c r="G19" s="92"/>
      <c r="H19" s="92"/>
      <c r="I19" s="17"/>
      <c r="J19" s="17"/>
      <c r="K19" s="17"/>
      <c r="L19" s="17"/>
      <c r="M19" s="17"/>
      <c r="N19" s="17"/>
      <c r="O19" s="17"/>
      <c r="P19" s="17"/>
      <c r="Q19" s="17"/>
      <c r="R19" s="17"/>
      <c r="S19" s="17"/>
      <c r="T19" s="17"/>
      <c r="U19" s="17"/>
      <c r="V19" s="17"/>
      <c r="W19" s="17"/>
      <c r="X19" s="17"/>
      <c r="Y19" s="17"/>
      <c r="Z19" s="17"/>
      <c r="AA19" s="17"/>
    </row>
    <row r="20" spans="1:27" ht="8.25" customHeight="1">
      <c r="A20" s="25"/>
      <c r="E20" s="53"/>
      <c r="F20" s="53"/>
      <c r="G20" s="53"/>
      <c r="H20" s="53"/>
      <c r="I20" s="17"/>
      <c r="J20" s="17"/>
      <c r="K20" s="17"/>
      <c r="L20" s="17"/>
      <c r="M20" s="17"/>
      <c r="N20" s="17"/>
      <c r="O20" s="17"/>
      <c r="P20" s="17"/>
      <c r="Q20" s="17"/>
      <c r="R20" s="17"/>
      <c r="S20" s="17"/>
      <c r="T20" s="17"/>
      <c r="U20" s="17"/>
      <c r="V20" s="17"/>
      <c r="W20" s="17"/>
      <c r="X20" s="17"/>
      <c r="Y20" s="17"/>
      <c r="Z20" s="17"/>
      <c r="AA20" s="17"/>
    </row>
    <row r="21" spans="1:27" ht="32.25" customHeight="1">
      <c r="A21" s="25"/>
      <c r="B21" s="54" t="s">
        <v>100</v>
      </c>
      <c r="C21" s="55"/>
      <c r="D21" s="54" t="s">
        <v>101</v>
      </c>
      <c r="E21" s="54"/>
      <c r="F21" s="104" t="s">
        <v>102</v>
      </c>
      <c r="G21" s="92"/>
      <c r="H21" s="92"/>
      <c r="I21" s="17"/>
      <c r="J21" s="104" t="s">
        <v>103</v>
      </c>
      <c r="K21" s="92"/>
      <c r="L21" s="92"/>
      <c r="M21" s="17"/>
      <c r="N21" s="17"/>
      <c r="O21" s="17"/>
      <c r="P21" s="17"/>
      <c r="Q21" s="17"/>
      <c r="R21" s="17"/>
      <c r="S21" s="17"/>
      <c r="T21" s="17"/>
      <c r="U21" s="17"/>
      <c r="V21" s="17"/>
      <c r="W21" s="17"/>
      <c r="X21" s="17"/>
      <c r="Y21" s="17"/>
      <c r="Z21" s="17"/>
      <c r="AA21" s="17"/>
    </row>
    <row r="22" spans="1:27" ht="25.5" customHeight="1">
      <c r="A22" s="25"/>
      <c r="B22" s="96" t="s">
        <v>104</v>
      </c>
      <c r="C22" s="50"/>
      <c r="D22" s="96" t="s">
        <v>105</v>
      </c>
      <c r="E22" s="50"/>
      <c r="F22" s="96"/>
      <c r="G22" s="92"/>
      <c r="H22" s="92"/>
      <c r="I22" s="17"/>
      <c r="J22" s="99">
        <f>IF('Ordre de passage'!D4="","",'Ordre de passage'!D4)</f>
        <v>46178</v>
      </c>
      <c r="K22" s="92"/>
      <c r="L22" s="92"/>
      <c r="M22" s="17"/>
      <c r="N22" s="17"/>
      <c r="O22" s="17"/>
      <c r="P22" s="17"/>
      <c r="Q22" s="17"/>
      <c r="R22" s="17"/>
      <c r="S22" s="17"/>
      <c r="T22" s="17"/>
      <c r="U22" s="17"/>
      <c r="V22" s="17"/>
      <c r="W22" s="17"/>
      <c r="X22" s="17"/>
      <c r="Y22" s="17"/>
      <c r="Z22" s="17"/>
      <c r="AA22" s="17"/>
    </row>
    <row r="23" spans="1:27" ht="14.25" customHeight="1">
      <c r="A23" s="25"/>
      <c r="B23" s="92"/>
      <c r="C23" s="55"/>
      <c r="D23" s="92"/>
      <c r="E23" s="53"/>
      <c r="F23" s="92"/>
      <c r="G23" s="92"/>
      <c r="H23" s="92"/>
      <c r="I23" s="17"/>
      <c r="J23" s="92"/>
      <c r="K23" s="92"/>
      <c r="L23" s="92"/>
      <c r="M23" s="17"/>
      <c r="N23" s="17"/>
      <c r="O23" s="17"/>
      <c r="P23" s="17"/>
      <c r="Q23" s="17"/>
      <c r="R23" s="17"/>
      <c r="S23" s="17"/>
      <c r="T23" s="17"/>
      <c r="U23" s="17"/>
      <c r="V23" s="17"/>
      <c r="W23" s="17"/>
      <c r="X23" s="17"/>
      <c r="Y23" s="17"/>
      <c r="Z23" s="17"/>
      <c r="AA23" s="17"/>
    </row>
    <row r="24" spans="1:27" ht="14.25" customHeight="1">
      <c r="A24" s="25"/>
      <c r="B24" s="92"/>
      <c r="C24" s="25"/>
      <c r="D24" s="92"/>
      <c r="E24" s="53"/>
      <c r="F24" s="92"/>
      <c r="G24" s="92"/>
      <c r="H24" s="92"/>
      <c r="I24" s="17"/>
      <c r="J24" s="92"/>
      <c r="K24" s="92"/>
      <c r="L24" s="92"/>
      <c r="M24" s="17"/>
      <c r="N24" s="17"/>
      <c r="O24" s="17"/>
      <c r="P24" s="17"/>
      <c r="Q24" s="17"/>
      <c r="R24" s="17"/>
      <c r="S24" s="17"/>
      <c r="T24" s="17"/>
      <c r="U24" s="17"/>
      <c r="V24" s="17"/>
      <c r="W24" s="17"/>
      <c r="X24" s="17"/>
      <c r="Y24" s="17"/>
      <c r="Z24" s="17"/>
      <c r="AA24" s="17"/>
    </row>
    <row r="25" spans="1:27" ht="14.25" customHeight="1">
      <c r="A25" s="25"/>
      <c r="B25" s="92"/>
      <c r="C25" s="25"/>
      <c r="D25" s="92"/>
      <c r="E25" s="53"/>
      <c r="F25" s="92"/>
      <c r="G25" s="92"/>
      <c r="H25" s="92"/>
      <c r="I25" s="17"/>
      <c r="J25" s="92"/>
      <c r="K25" s="92"/>
      <c r="L25" s="92"/>
      <c r="M25" s="17"/>
      <c r="N25" s="17"/>
      <c r="O25" s="17"/>
      <c r="P25" s="17"/>
      <c r="Q25" s="17"/>
      <c r="R25" s="17"/>
      <c r="S25" s="17"/>
      <c r="T25" s="17"/>
      <c r="U25" s="17"/>
      <c r="V25" s="17"/>
      <c r="W25" s="17"/>
      <c r="X25" s="17"/>
      <c r="Y25" s="17"/>
      <c r="Z25" s="17"/>
      <c r="AA25" s="17"/>
    </row>
    <row r="26" spans="1:27" ht="14.25" customHeight="1">
      <c r="A26" s="25"/>
      <c r="B26" s="92"/>
      <c r="C26" s="25"/>
      <c r="D26" s="92"/>
      <c r="E26" s="53"/>
      <c r="F26" s="92"/>
      <c r="G26" s="92"/>
      <c r="H26" s="92"/>
      <c r="I26" s="17"/>
      <c r="J26" s="92"/>
      <c r="K26" s="92"/>
      <c r="L26" s="92"/>
      <c r="M26" s="17"/>
      <c r="N26" s="17"/>
      <c r="O26" s="17"/>
      <c r="P26" s="17"/>
      <c r="Q26" s="17"/>
      <c r="R26" s="17"/>
      <c r="S26" s="17"/>
      <c r="T26" s="17"/>
      <c r="U26" s="17"/>
      <c r="V26" s="17"/>
      <c r="W26" s="17"/>
      <c r="X26" s="17"/>
      <c r="Y26" s="17"/>
      <c r="Z26" s="17"/>
      <c r="AA26" s="17"/>
    </row>
    <row r="27" spans="1:27" ht="14.25" customHeight="1">
      <c r="A27" s="25"/>
      <c r="B27" s="25"/>
      <c r="C27" s="25"/>
      <c r="D27" s="55"/>
      <c r="E27" s="17"/>
      <c r="F27" s="17"/>
      <c r="G27" s="17"/>
      <c r="H27" s="17"/>
      <c r="I27" s="17"/>
      <c r="J27" s="17"/>
      <c r="K27" s="17"/>
      <c r="L27" s="17"/>
      <c r="M27" s="17"/>
      <c r="N27" s="17"/>
      <c r="O27" s="17"/>
      <c r="P27" s="17"/>
      <c r="Q27" s="17"/>
      <c r="R27" s="17"/>
      <c r="S27" s="17"/>
      <c r="T27" s="17"/>
      <c r="U27" s="17"/>
      <c r="V27" s="17"/>
      <c r="W27" s="17"/>
      <c r="X27" s="17"/>
      <c r="Y27" s="17"/>
      <c r="Z27" s="17"/>
      <c r="AA27" s="17"/>
    </row>
    <row r="28" spans="1:27" ht="14.25" customHeight="1">
      <c r="A28" s="25"/>
      <c r="B28" s="25"/>
      <c r="C28" s="25"/>
      <c r="D28" s="55"/>
      <c r="E28" s="17"/>
      <c r="F28" s="17"/>
      <c r="G28" s="17"/>
      <c r="H28" s="17"/>
      <c r="I28" s="17"/>
      <c r="J28" s="17"/>
      <c r="K28" s="17"/>
      <c r="L28" s="17"/>
      <c r="M28" s="17"/>
      <c r="N28" s="17"/>
      <c r="O28" s="17"/>
      <c r="P28" s="17"/>
      <c r="Q28" s="17"/>
      <c r="R28" s="17"/>
      <c r="S28" s="17"/>
      <c r="T28" s="17"/>
      <c r="U28" s="17"/>
      <c r="V28" s="17"/>
      <c r="W28" s="17"/>
      <c r="X28" s="17"/>
      <c r="Y28" s="17"/>
      <c r="Z28" s="17"/>
      <c r="AA28" s="17"/>
    </row>
    <row r="29" spans="1:27" ht="14.25" customHeight="1">
      <c r="A29" s="25"/>
      <c r="B29" s="25"/>
      <c r="C29" s="25"/>
      <c r="D29" s="55"/>
      <c r="E29" s="17"/>
      <c r="F29" s="17"/>
      <c r="G29" s="17"/>
      <c r="H29" s="17"/>
      <c r="I29" s="17"/>
      <c r="J29" s="17"/>
      <c r="K29" s="17"/>
      <c r="L29" s="17"/>
      <c r="M29" s="17"/>
      <c r="N29" s="17"/>
      <c r="O29" s="17"/>
      <c r="P29" s="17"/>
      <c r="Q29" s="17"/>
      <c r="R29" s="17"/>
      <c r="S29" s="17"/>
      <c r="T29" s="17"/>
      <c r="U29" s="17"/>
      <c r="V29" s="17"/>
      <c r="W29" s="17"/>
      <c r="X29" s="17"/>
      <c r="Y29" s="17"/>
      <c r="Z29" s="17"/>
      <c r="AA29" s="17"/>
    </row>
    <row r="30" spans="1:27" ht="14.25" customHeight="1">
      <c r="A30" s="25"/>
      <c r="B30" s="25"/>
      <c r="C30" s="25"/>
      <c r="D30" s="55"/>
      <c r="E30" s="17"/>
      <c r="F30" s="17"/>
      <c r="G30" s="17"/>
      <c r="H30" s="17"/>
      <c r="I30" s="17"/>
      <c r="J30" s="17"/>
      <c r="K30" s="17"/>
      <c r="L30" s="17"/>
      <c r="M30" s="17"/>
      <c r="N30" s="17"/>
      <c r="O30" s="17"/>
      <c r="P30" s="17"/>
      <c r="Q30" s="17"/>
      <c r="R30" s="17"/>
      <c r="S30" s="17"/>
      <c r="T30" s="17"/>
      <c r="U30" s="17"/>
      <c r="V30" s="17"/>
      <c r="W30" s="17"/>
      <c r="X30" s="17"/>
      <c r="Y30" s="17"/>
      <c r="Z30" s="17"/>
      <c r="AA30" s="17"/>
    </row>
    <row r="31" spans="1:27" ht="14.25" customHeight="1">
      <c r="A31" s="25"/>
      <c r="B31" s="25"/>
      <c r="C31" s="25"/>
      <c r="D31" s="55"/>
      <c r="E31" s="17"/>
      <c r="F31" s="17"/>
      <c r="G31" s="17"/>
      <c r="H31" s="17"/>
      <c r="I31" s="17"/>
      <c r="J31" s="17"/>
      <c r="K31" s="17"/>
      <c r="L31" s="17"/>
      <c r="M31" s="17"/>
      <c r="N31" s="17"/>
      <c r="O31" s="17"/>
      <c r="P31" s="17"/>
      <c r="Q31" s="17"/>
      <c r="R31" s="17"/>
      <c r="S31" s="17"/>
      <c r="T31" s="17"/>
      <c r="U31" s="17"/>
      <c r="V31" s="17"/>
      <c r="W31" s="17"/>
      <c r="X31" s="17"/>
      <c r="Y31" s="17"/>
      <c r="Z31" s="17"/>
      <c r="AA31" s="17"/>
    </row>
    <row r="32" spans="1:27" ht="14.25" customHeight="1">
      <c r="A32" s="25"/>
      <c r="B32" s="25"/>
      <c r="C32" s="25"/>
      <c r="D32" s="55"/>
      <c r="E32" s="17"/>
      <c r="F32" s="17"/>
      <c r="G32" s="17"/>
      <c r="H32" s="17"/>
      <c r="I32" s="17"/>
      <c r="J32" s="17"/>
      <c r="K32" s="17"/>
      <c r="L32" s="17"/>
      <c r="M32" s="17"/>
      <c r="N32" s="17"/>
      <c r="O32" s="17"/>
      <c r="P32" s="17"/>
      <c r="Q32" s="17"/>
      <c r="R32" s="17"/>
      <c r="S32" s="17"/>
      <c r="T32" s="17"/>
      <c r="U32" s="17"/>
      <c r="V32" s="17"/>
      <c r="W32" s="17"/>
      <c r="X32" s="17"/>
      <c r="Y32" s="17"/>
      <c r="Z32" s="17"/>
      <c r="AA32" s="17"/>
    </row>
    <row r="33" spans="1:27" ht="14.25" customHeight="1">
      <c r="A33" s="25"/>
      <c r="B33" s="25"/>
      <c r="C33" s="25"/>
      <c r="D33" s="55"/>
      <c r="E33" s="17"/>
      <c r="F33" s="17"/>
      <c r="G33" s="17"/>
      <c r="H33" s="17"/>
      <c r="I33" s="17"/>
      <c r="J33" s="17"/>
      <c r="K33" s="17"/>
      <c r="L33" s="17"/>
      <c r="M33" s="17"/>
      <c r="N33" s="17"/>
      <c r="O33" s="17"/>
      <c r="P33" s="17"/>
      <c r="Q33" s="17"/>
      <c r="R33" s="17"/>
      <c r="S33" s="17"/>
      <c r="T33" s="17"/>
      <c r="U33" s="17"/>
      <c r="V33" s="17"/>
      <c r="W33" s="17"/>
      <c r="X33" s="17"/>
      <c r="Y33" s="17"/>
      <c r="Z33" s="17"/>
      <c r="AA33" s="17"/>
    </row>
    <row r="34" spans="1:27" ht="14.25" customHeight="1">
      <c r="A34" s="25"/>
      <c r="B34" s="25"/>
      <c r="C34" s="25"/>
      <c r="D34" s="55"/>
      <c r="E34" s="17"/>
      <c r="F34" s="17"/>
      <c r="G34" s="17"/>
      <c r="H34" s="17"/>
      <c r="I34" s="17"/>
      <c r="J34" s="17"/>
      <c r="K34" s="17"/>
      <c r="L34" s="17"/>
      <c r="M34" s="17"/>
      <c r="N34" s="17"/>
      <c r="O34" s="17"/>
      <c r="P34" s="17"/>
      <c r="Q34" s="17"/>
      <c r="R34" s="17"/>
      <c r="S34" s="17"/>
      <c r="T34" s="17"/>
      <c r="U34" s="17"/>
      <c r="V34" s="17"/>
      <c r="W34" s="17"/>
      <c r="X34" s="17"/>
      <c r="Y34" s="17"/>
      <c r="Z34" s="17"/>
      <c r="AA34" s="17"/>
    </row>
    <row r="35" spans="1:27" ht="14.25" customHeight="1">
      <c r="A35" s="25"/>
      <c r="B35" s="25"/>
      <c r="C35" s="25"/>
      <c r="D35" s="55"/>
      <c r="E35" s="17"/>
      <c r="F35" s="17"/>
      <c r="G35" s="17"/>
      <c r="H35" s="17"/>
      <c r="I35" s="17"/>
      <c r="J35" s="17"/>
      <c r="K35" s="17"/>
      <c r="L35" s="17"/>
      <c r="M35" s="17"/>
      <c r="N35" s="17"/>
      <c r="O35" s="17"/>
      <c r="P35" s="17"/>
      <c r="Q35" s="17"/>
      <c r="R35" s="17"/>
      <c r="S35" s="17"/>
      <c r="T35" s="17"/>
      <c r="U35" s="17"/>
      <c r="V35" s="17"/>
      <c r="W35" s="17"/>
      <c r="X35" s="17"/>
      <c r="Y35" s="17"/>
      <c r="Z35" s="17"/>
      <c r="AA35" s="17"/>
    </row>
    <row r="36" spans="1:27" ht="14.25" customHeight="1">
      <c r="A36" s="25"/>
      <c r="B36" s="25"/>
      <c r="C36" s="25"/>
      <c r="D36" s="55"/>
      <c r="E36" s="17"/>
      <c r="F36" s="17"/>
      <c r="G36" s="17"/>
      <c r="H36" s="17"/>
      <c r="I36" s="17"/>
      <c r="J36" s="17"/>
      <c r="K36" s="17"/>
      <c r="L36" s="17"/>
      <c r="M36" s="17"/>
      <c r="N36" s="17"/>
      <c r="O36" s="17"/>
      <c r="P36" s="17"/>
      <c r="Q36" s="17"/>
      <c r="R36" s="17"/>
      <c r="S36" s="17"/>
      <c r="T36" s="17"/>
      <c r="U36" s="17"/>
      <c r="V36" s="17"/>
      <c r="W36" s="17"/>
      <c r="X36" s="17"/>
      <c r="Y36" s="17"/>
      <c r="Z36" s="17"/>
      <c r="AA36" s="17"/>
    </row>
    <row r="37" spans="1:27" ht="14.25" customHeight="1">
      <c r="A37" s="25"/>
      <c r="B37" s="25"/>
      <c r="C37" s="25"/>
      <c r="D37" s="55"/>
      <c r="E37" s="17"/>
      <c r="F37" s="17"/>
      <c r="G37" s="17"/>
      <c r="H37" s="17"/>
      <c r="I37" s="17"/>
      <c r="J37" s="17"/>
      <c r="K37" s="17"/>
      <c r="L37" s="17"/>
      <c r="M37" s="17"/>
      <c r="N37" s="17"/>
      <c r="O37" s="17"/>
      <c r="P37" s="17"/>
      <c r="Q37" s="17"/>
      <c r="R37" s="17"/>
      <c r="S37" s="17"/>
      <c r="T37" s="17"/>
      <c r="U37" s="17"/>
      <c r="V37" s="17"/>
      <c r="W37" s="17"/>
      <c r="X37" s="17"/>
      <c r="Y37" s="17"/>
      <c r="Z37" s="17"/>
      <c r="AA37" s="17"/>
    </row>
    <row r="38" spans="1:27" ht="14.25" customHeight="1">
      <c r="A38" s="25"/>
      <c r="B38" s="25"/>
      <c r="C38" s="25"/>
      <c r="D38" s="55"/>
      <c r="E38" s="17"/>
      <c r="F38" s="17"/>
      <c r="G38" s="17"/>
      <c r="H38" s="17"/>
      <c r="I38" s="17"/>
      <c r="J38" s="17"/>
      <c r="K38" s="17"/>
      <c r="L38" s="17"/>
      <c r="M38" s="17"/>
      <c r="N38" s="17"/>
      <c r="O38" s="17"/>
      <c r="P38" s="17"/>
      <c r="Q38" s="17"/>
      <c r="R38" s="17"/>
      <c r="S38" s="17"/>
      <c r="T38" s="17"/>
      <c r="U38" s="17"/>
      <c r="V38" s="17"/>
      <c r="W38" s="17"/>
      <c r="X38" s="17"/>
      <c r="Y38" s="17"/>
      <c r="Z38" s="17"/>
      <c r="AA38" s="17"/>
    </row>
    <row r="39" spans="1:27" ht="14.25" customHeight="1">
      <c r="A39" s="25"/>
      <c r="B39" s="25"/>
      <c r="C39" s="25"/>
      <c r="D39" s="55"/>
      <c r="E39" s="17"/>
      <c r="F39" s="17"/>
      <c r="G39" s="17"/>
      <c r="H39" s="17"/>
      <c r="I39" s="17"/>
      <c r="J39" s="17"/>
      <c r="K39" s="17"/>
      <c r="L39" s="17"/>
      <c r="M39" s="17"/>
      <c r="N39" s="17"/>
      <c r="O39" s="17"/>
      <c r="P39" s="17"/>
      <c r="Q39" s="17"/>
      <c r="R39" s="17"/>
      <c r="S39" s="17"/>
      <c r="T39" s="17"/>
      <c r="U39" s="17"/>
      <c r="V39" s="17"/>
      <c r="W39" s="17"/>
      <c r="X39" s="17"/>
      <c r="Y39" s="17"/>
      <c r="Z39" s="17"/>
      <c r="AA39" s="17"/>
    </row>
    <row r="40" spans="1:27" ht="14.25" customHeight="1">
      <c r="A40" s="25"/>
      <c r="B40" s="25"/>
      <c r="C40" s="25"/>
      <c r="D40" s="55"/>
      <c r="E40" s="17"/>
      <c r="F40" s="17"/>
      <c r="G40" s="17"/>
      <c r="H40" s="17"/>
      <c r="I40" s="17"/>
      <c r="J40" s="17"/>
      <c r="K40" s="17"/>
      <c r="L40" s="17"/>
      <c r="M40" s="17"/>
      <c r="N40" s="17"/>
      <c r="O40" s="17"/>
      <c r="P40" s="17"/>
      <c r="Q40" s="17"/>
      <c r="R40" s="17"/>
      <c r="S40" s="17"/>
      <c r="T40" s="17"/>
      <c r="U40" s="17"/>
      <c r="V40" s="17"/>
      <c r="W40" s="17"/>
      <c r="X40" s="17"/>
      <c r="Y40" s="17"/>
      <c r="Z40" s="17"/>
      <c r="AA40" s="17"/>
    </row>
    <row r="41" spans="1:27" ht="14.25" customHeight="1">
      <c r="A41" s="25"/>
      <c r="B41" s="25"/>
      <c r="C41" s="25"/>
      <c r="D41" s="55"/>
      <c r="E41" s="17"/>
      <c r="F41" s="17"/>
      <c r="G41" s="17"/>
      <c r="H41" s="17"/>
      <c r="I41" s="17"/>
      <c r="J41" s="17"/>
      <c r="K41" s="17"/>
      <c r="L41" s="17"/>
      <c r="M41" s="17"/>
      <c r="N41" s="17"/>
      <c r="O41" s="17"/>
      <c r="P41" s="17"/>
      <c r="Q41" s="17"/>
      <c r="R41" s="17"/>
      <c r="S41" s="17"/>
      <c r="T41" s="17"/>
      <c r="U41" s="17"/>
      <c r="V41" s="17"/>
      <c r="W41" s="17"/>
      <c r="X41" s="17"/>
      <c r="Y41" s="17"/>
      <c r="Z41" s="17"/>
      <c r="AA41" s="17"/>
    </row>
    <row r="42" spans="1:27" ht="14.25" customHeight="1">
      <c r="A42" s="25"/>
      <c r="B42" s="25"/>
      <c r="C42" s="25"/>
      <c r="D42" s="55"/>
      <c r="E42" s="17"/>
      <c r="F42" s="17"/>
      <c r="G42" s="17"/>
      <c r="H42" s="17"/>
      <c r="I42" s="17"/>
      <c r="J42" s="17"/>
      <c r="K42" s="17"/>
      <c r="L42" s="17"/>
      <c r="M42" s="17"/>
      <c r="N42" s="17"/>
      <c r="O42" s="17"/>
      <c r="P42" s="17"/>
      <c r="Q42" s="17"/>
      <c r="R42" s="17"/>
      <c r="S42" s="17"/>
      <c r="T42" s="17"/>
      <c r="U42" s="17"/>
      <c r="V42" s="17"/>
      <c r="W42" s="17"/>
      <c r="X42" s="17"/>
      <c r="Y42" s="17"/>
      <c r="Z42" s="17"/>
      <c r="AA42" s="17"/>
    </row>
    <row r="43" spans="1:27" ht="14.25" customHeight="1">
      <c r="A43" s="25"/>
      <c r="B43" s="25"/>
      <c r="C43" s="25"/>
      <c r="D43" s="55"/>
      <c r="E43" s="17"/>
      <c r="F43" s="17"/>
      <c r="G43" s="17"/>
      <c r="H43" s="17"/>
      <c r="I43" s="17"/>
      <c r="J43" s="17"/>
      <c r="K43" s="17"/>
      <c r="L43" s="17"/>
      <c r="M43" s="17"/>
      <c r="N43" s="17"/>
      <c r="O43" s="17"/>
      <c r="P43" s="17"/>
      <c r="Q43" s="17"/>
      <c r="R43" s="17"/>
      <c r="S43" s="17"/>
      <c r="T43" s="17"/>
      <c r="U43" s="17"/>
      <c r="V43" s="17"/>
      <c r="W43" s="17"/>
      <c r="X43" s="17"/>
      <c r="Y43" s="17"/>
      <c r="Z43" s="17"/>
      <c r="AA43" s="17"/>
    </row>
    <row r="44" spans="1:27" ht="14.25" customHeight="1">
      <c r="A44" s="25"/>
      <c r="B44" s="25"/>
      <c r="C44" s="25"/>
      <c r="D44" s="55"/>
      <c r="E44" s="17"/>
      <c r="F44" s="17"/>
      <c r="G44" s="17"/>
      <c r="H44" s="17"/>
      <c r="I44" s="17"/>
      <c r="J44" s="17"/>
      <c r="K44" s="17"/>
      <c r="L44" s="17"/>
      <c r="M44" s="17"/>
      <c r="N44" s="17"/>
      <c r="O44" s="17"/>
      <c r="P44" s="17"/>
      <c r="Q44" s="17"/>
      <c r="R44" s="17"/>
      <c r="S44" s="17"/>
      <c r="T44" s="17"/>
      <c r="U44" s="17"/>
      <c r="V44" s="17"/>
      <c r="W44" s="17"/>
      <c r="X44" s="17"/>
      <c r="Y44" s="17"/>
      <c r="Z44" s="17"/>
      <c r="AA44" s="17"/>
    </row>
    <row r="45" spans="1:27" ht="14.25" customHeight="1">
      <c r="A45" s="25"/>
      <c r="B45" s="25"/>
      <c r="C45" s="25"/>
      <c r="D45" s="55"/>
      <c r="E45" s="17"/>
      <c r="F45" s="17"/>
      <c r="G45" s="17"/>
      <c r="H45" s="17"/>
      <c r="I45" s="17"/>
      <c r="J45" s="17"/>
      <c r="K45" s="17"/>
      <c r="L45" s="17"/>
      <c r="M45" s="17"/>
      <c r="N45" s="17"/>
      <c r="O45" s="17"/>
      <c r="P45" s="17"/>
      <c r="Q45" s="17"/>
      <c r="R45" s="17"/>
      <c r="S45" s="17"/>
      <c r="T45" s="17"/>
      <c r="U45" s="17"/>
      <c r="V45" s="17"/>
      <c r="W45" s="17"/>
      <c r="X45" s="17"/>
      <c r="Y45" s="17"/>
      <c r="Z45" s="17"/>
      <c r="AA45" s="17"/>
    </row>
    <row r="46" spans="1:27" ht="14.25" customHeight="1">
      <c r="A46" s="25"/>
      <c r="B46" s="25"/>
      <c r="C46" s="25"/>
      <c r="D46" s="55"/>
      <c r="E46" s="17"/>
      <c r="F46" s="17"/>
      <c r="G46" s="17"/>
      <c r="H46" s="17"/>
      <c r="I46" s="17"/>
      <c r="J46" s="17"/>
      <c r="K46" s="17"/>
      <c r="L46" s="17"/>
      <c r="M46" s="17"/>
      <c r="N46" s="17"/>
      <c r="O46" s="17"/>
      <c r="P46" s="17"/>
      <c r="Q46" s="17"/>
      <c r="R46" s="17"/>
      <c r="S46" s="17"/>
      <c r="T46" s="17"/>
      <c r="U46" s="17"/>
      <c r="V46" s="17"/>
      <c r="W46" s="17"/>
      <c r="X46" s="17"/>
      <c r="Y46" s="17"/>
      <c r="Z46" s="17"/>
      <c r="AA46" s="17"/>
    </row>
    <row r="47" spans="1:27" ht="14.25" customHeight="1">
      <c r="A47" s="25"/>
      <c r="B47" s="25"/>
      <c r="C47" s="25"/>
      <c r="D47" s="55"/>
      <c r="E47" s="17"/>
      <c r="F47" s="17"/>
      <c r="G47" s="17"/>
      <c r="H47" s="17"/>
      <c r="I47" s="17"/>
      <c r="J47" s="17"/>
      <c r="K47" s="17"/>
      <c r="L47" s="17"/>
      <c r="M47" s="17"/>
      <c r="N47" s="17"/>
      <c r="O47" s="17"/>
      <c r="P47" s="17"/>
      <c r="Q47" s="17"/>
      <c r="R47" s="17"/>
      <c r="S47" s="17"/>
      <c r="T47" s="17"/>
      <c r="U47" s="17"/>
      <c r="V47" s="17"/>
      <c r="W47" s="17"/>
      <c r="X47" s="17"/>
      <c r="Y47" s="17"/>
      <c r="Z47" s="17"/>
      <c r="AA47" s="17"/>
    </row>
    <row r="48" spans="1:27" ht="14.25" customHeight="1">
      <c r="A48" s="25"/>
      <c r="B48" s="25"/>
      <c r="C48" s="25"/>
      <c r="D48" s="55"/>
      <c r="E48" s="17"/>
      <c r="F48" s="17"/>
      <c r="G48" s="17"/>
      <c r="H48" s="17"/>
      <c r="I48" s="17"/>
      <c r="J48" s="17"/>
      <c r="K48" s="17"/>
      <c r="L48" s="17"/>
      <c r="M48" s="17"/>
      <c r="N48" s="17"/>
      <c r="O48" s="17"/>
      <c r="P48" s="17"/>
      <c r="Q48" s="17"/>
      <c r="R48" s="17"/>
      <c r="S48" s="17"/>
      <c r="T48" s="17"/>
      <c r="U48" s="17"/>
      <c r="V48" s="17"/>
      <c r="W48" s="17"/>
      <c r="X48" s="17"/>
      <c r="Y48" s="17"/>
      <c r="Z48" s="17"/>
      <c r="AA48" s="17"/>
    </row>
    <row r="49" spans="1:27" ht="14.25" customHeight="1">
      <c r="A49" s="25"/>
      <c r="B49" s="25"/>
      <c r="C49" s="25"/>
      <c r="D49" s="55"/>
      <c r="E49" s="17"/>
      <c r="F49" s="17"/>
      <c r="G49" s="17"/>
      <c r="H49" s="17"/>
      <c r="I49" s="17"/>
      <c r="J49" s="17"/>
      <c r="K49" s="17"/>
      <c r="L49" s="17"/>
      <c r="M49" s="17"/>
      <c r="N49" s="17"/>
      <c r="O49" s="17"/>
      <c r="P49" s="17"/>
      <c r="Q49" s="17"/>
      <c r="R49" s="17"/>
      <c r="S49" s="17"/>
      <c r="T49" s="17"/>
      <c r="U49" s="17"/>
      <c r="V49" s="17"/>
      <c r="W49" s="17"/>
      <c r="X49" s="17"/>
      <c r="Y49" s="17"/>
      <c r="Z49" s="17"/>
      <c r="AA49" s="17"/>
    </row>
    <row r="50" spans="1:27" ht="14.25" customHeight="1">
      <c r="A50" s="25"/>
      <c r="B50" s="25"/>
      <c r="C50" s="25"/>
      <c r="D50" s="55"/>
      <c r="E50" s="17"/>
      <c r="F50" s="17"/>
      <c r="G50" s="17"/>
      <c r="H50" s="17"/>
      <c r="I50" s="17"/>
      <c r="J50" s="17"/>
      <c r="K50" s="17"/>
      <c r="L50" s="17"/>
      <c r="M50" s="17"/>
      <c r="N50" s="17"/>
      <c r="O50" s="17"/>
      <c r="P50" s="17"/>
      <c r="Q50" s="17"/>
      <c r="R50" s="17"/>
      <c r="S50" s="17"/>
      <c r="T50" s="17"/>
      <c r="U50" s="17"/>
      <c r="V50" s="17"/>
      <c r="W50" s="17"/>
      <c r="X50" s="17"/>
      <c r="Y50" s="17"/>
      <c r="Z50" s="17"/>
      <c r="AA50" s="17"/>
    </row>
    <row r="51" spans="1:27" ht="14.25" customHeight="1">
      <c r="A51" s="25"/>
      <c r="B51" s="25"/>
      <c r="C51" s="25"/>
      <c r="D51" s="55"/>
      <c r="E51" s="17"/>
      <c r="F51" s="17"/>
      <c r="G51" s="17"/>
      <c r="H51" s="17"/>
      <c r="I51" s="17"/>
      <c r="J51" s="17"/>
      <c r="K51" s="17"/>
      <c r="L51" s="17"/>
      <c r="M51" s="17"/>
      <c r="N51" s="17"/>
      <c r="O51" s="17"/>
      <c r="P51" s="17"/>
      <c r="Q51" s="17"/>
      <c r="R51" s="17"/>
      <c r="S51" s="17"/>
      <c r="T51" s="17"/>
      <c r="U51" s="17"/>
      <c r="V51" s="17"/>
      <c r="W51" s="17"/>
      <c r="X51" s="17"/>
      <c r="Y51" s="17"/>
      <c r="Z51" s="17"/>
      <c r="AA51" s="17"/>
    </row>
    <row r="52" spans="1:27" ht="14.25" customHeight="1">
      <c r="A52" s="25"/>
      <c r="B52" s="25"/>
      <c r="C52" s="25"/>
      <c r="D52" s="55"/>
      <c r="E52" s="17"/>
      <c r="F52" s="17"/>
      <c r="G52" s="17"/>
      <c r="H52" s="17"/>
      <c r="I52" s="17"/>
      <c r="J52" s="17"/>
      <c r="K52" s="17"/>
      <c r="L52" s="17"/>
      <c r="M52" s="17"/>
      <c r="N52" s="17"/>
      <c r="O52" s="17"/>
      <c r="P52" s="17"/>
      <c r="Q52" s="17"/>
      <c r="R52" s="17"/>
      <c r="S52" s="17"/>
      <c r="T52" s="17"/>
      <c r="U52" s="17"/>
      <c r="V52" s="17"/>
      <c r="W52" s="17"/>
      <c r="X52" s="17"/>
      <c r="Y52" s="17"/>
      <c r="Z52" s="17"/>
      <c r="AA52" s="17"/>
    </row>
    <row r="53" spans="1:27" ht="14.25" customHeight="1">
      <c r="A53" s="25"/>
      <c r="B53" s="25"/>
      <c r="C53" s="25"/>
      <c r="D53" s="55"/>
      <c r="E53" s="17"/>
      <c r="F53" s="17"/>
      <c r="G53" s="17"/>
      <c r="H53" s="17"/>
      <c r="I53" s="17"/>
      <c r="J53" s="17"/>
      <c r="K53" s="17"/>
      <c r="L53" s="17"/>
      <c r="M53" s="17"/>
      <c r="N53" s="17"/>
      <c r="O53" s="17"/>
      <c r="P53" s="17"/>
      <c r="Q53" s="17"/>
      <c r="R53" s="17"/>
      <c r="S53" s="17"/>
      <c r="T53" s="17"/>
      <c r="U53" s="17"/>
      <c r="V53" s="17"/>
      <c r="W53" s="17"/>
      <c r="X53" s="17"/>
      <c r="Y53" s="17"/>
      <c r="Z53" s="17"/>
      <c r="AA53" s="17"/>
    </row>
    <row r="54" spans="1:27" ht="14.25" customHeight="1">
      <c r="A54" s="25"/>
      <c r="B54" s="25"/>
      <c r="C54" s="25"/>
      <c r="D54" s="55"/>
      <c r="E54" s="17"/>
      <c r="F54" s="17"/>
      <c r="G54" s="17"/>
      <c r="H54" s="17"/>
      <c r="I54" s="17"/>
      <c r="J54" s="17"/>
      <c r="K54" s="17"/>
      <c r="L54" s="17"/>
      <c r="M54" s="17"/>
      <c r="N54" s="17"/>
      <c r="O54" s="17"/>
      <c r="P54" s="17"/>
      <c r="Q54" s="17"/>
      <c r="R54" s="17"/>
      <c r="S54" s="17"/>
      <c r="T54" s="17"/>
      <c r="U54" s="17"/>
      <c r="V54" s="17"/>
      <c r="W54" s="17"/>
      <c r="X54" s="17"/>
      <c r="Y54" s="17"/>
      <c r="Z54" s="17"/>
      <c r="AA54" s="17"/>
    </row>
    <row r="55" spans="1:27" ht="14.25" customHeight="1">
      <c r="A55" s="25"/>
      <c r="B55" s="25"/>
      <c r="C55" s="25"/>
      <c r="D55" s="55"/>
      <c r="E55" s="17"/>
      <c r="F55" s="17"/>
      <c r="G55" s="17"/>
      <c r="H55" s="17"/>
      <c r="I55" s="17"/>
      <c r="J55" s="17"/>
      <c r="K55" s="17"/>
      <c r="L55" s="17"/>
      <c r="M55" s="17"/>
      <c r="N55" s="17"/>
      <c r="O55" s="17"/>
      <c r="P55" s="17"/>
      <c r="Q55" s="17"/>
      <c r="R55" s="17"/>
      <c r="S55" s="17"/>
      <c r="T55" s="17"/>
      <c r="U55" s="17"/>
      <c r="V55" s="17"/>
      <c r="W55" s="17"/>
      <c r="X55" s="17"/>
      <c r="Y55" s="17"/>
      <c r="Z55" s="17"/>
      <c r="AA55" s="17"/>
    </row>
    <row r="56" spans="1:27" ht="14.25" customHeight="1">
      <c r="A56" s="25"/>
      <c r="B56" s="25"/>
      <c r="C56" s="25"/>
      <c r="D56" s="55"/>
      <c r="E56" s="17"/>
      <c r="F56" s="17"/>
      <c r="G56" s="17"/>
      <c r="H56" s="17"/>
      <c r="I56" s="17"/>
      <c r="J56" s="17"/>
      <c r="K56" s="17"/>
      <c r="L56" s="17"/>
      <c r="M56" s="17"/>
      <c r="N56" s="17"/>
      <c r="O56" s="17"/>
      <c r="P56" s="17"/>
      <c r="Q56" s="17"/>
      <c r="R56" s="17"/>
      <c r="S56" s="17"/>
      <c r="T56" s="17"/>
      <c r="U56" s="17"/>
      <c r="V56" s="17"/>
      <c r="W56" s="17"/>
      <c r="X56" s="17"/>
      <c r="Y56" s="17"/>
      <c r="Z56" s="17"/>
      <c r="AA56" s="17"/>
    </row>
    <row r="57" spans="1:27" ht="14.25" customHeight="1">
      <c r="A57" s="25"/>
      <c r="B57" s="25"/>
      <c r="C57" s="25"/>
      <c r="D57" s="55"/>
      <c r="E57" s="17"/>
      <c r="F57" s="17"/>
      <c r="G57" s="17"/>
      <c r="H57" s="17"/>
      <c r="I57" s="17"/>
      <c r="J57" s="17"/>
      <c r="K57" s="17"/>
      <c r="L57" s="17"/>
      <c r="M57" s="17"/>
      <c r="N57" s="17"/>
      <c r="O57" s="17"/>
      <c r="P57" s="17"/>
      <c r="Q57" s="17"/>
      <c r="R57" s="17"/>
      <c r="S57" s="17"/>
      <c r="T57" s="17"/>
      <c r="U57" s="17"/>
      <c r="V57" s="17"/>
      <c r="W57" s="17"/>
      <c r="X57" s="17"/>
      <c r="Y57" s="17"/>
      <c r="Z57" s="17"/>
      <c r="AA57" s="17"/>
    </row>
    <row r="58" spans="1:27" ht="14.25" customHeight="1">
      <c r="A58" s="25"/>
      <c r="B58" s="25"/>
      <c r="C58" s="25"/>
      <c r="D58" s="55"/>
      <c r="E58" s="17"/>
      <c r="F58" s="17"/>
      <c r="G58" s="17"/>
      <c r="H58" s="17"/>
      <c r="I58" s="17"/>
      <c r="J58" s="17"/>
      <c r="K58" s="17"/>
      <c r="L58" s="17"/>
      <c r="M58" s="17"/>
      <c r="N58" s="17"/>
      <c r="O58" s="17"/>
      <c r="P58" s="17"/>
      <c r="Q58" s="17"/>
      <c r="R58" s="17"/>
      <c r="S58" s="17"/>
      <c r="T58" s="17"/>
      <c r="U58" s="17"/>
      <c r="V58" s="17"/>
      <c r="W58" s="17"/>
      <c r="X58" s="17"/>
      <c r="Y58" s="17"/>
      <c r="Z58" s="17"/>
      <c r="AA58" s="17"/>
    </row>
    <row r="59" spans="1:27" ht="14.25" customHeight="1">
      <c r="A59" s="25"/>
      <c r="B59" s="25"/>
      <c r="C59" s="25"/>
      <c r="D59" s="55"/>
      <c r="E59" s="17"/>
      <c r="F59" s="17"/>
      <c r="G59" s="17"/>
      <c r="H59" s="17"/>
      <c r="I59" s="17"/>
      <c r="J59" s="17"/>
      <c r="K59" s="17"/>
      <c r="L59" s="17"/>
      <c r="M59" s="17"/>
      <c r="N59" s="17"/>
      <c r="O59" s="17"/>
      <c r="P59" s="17"/>
      <c r="Q59" s="17"/>
      <c r="R59" s="17"/>
      <c r="S59" s="17"/>
      <c r="T59" s="17"/>
      <c r="U59" s="17"/>
      <c r="V59" s="17"/>
      <c r="W59" s="17"/>
      <c r="X59" s="17"/>
      <c r="Y59" s="17"/>
      <c r="Z59" s="17"/>
      <c r="AA59" s="17"/>
    </row>
    <row r="60" spans="1:27" ht="14.25" customHeight="1">
      <c r="A60" s="25"/>
      <c r="B60" s="25"/>
      <c r="C60" s="25"/>
      <c r="D60" s="55"/>
      <c r="E60" s="17"/>
      <c r="F60" s="17"/>
      <c r="G60" s="17"/>
      <c r="H60" s="17"/>
      <c r="I60" s="17"/>
      <c r="J60" s="17"/>
      <c r="K60" s="17"/>
      <c r="L60" s="17"/>
      <c r="M60" s="17"/>
      <c r="N60" s="17"/>
      <c r="O60" s="17"/>
      <c r="P60" s="17"/>
      <c r="Q60" s="17"/>
      <c r="R60" s="17"/>
      <c r="S60" s="17"/>
      <c r="T60" s="17"/>
      <c r="U60" s="17"/>
      <c r="V60" s="17"/>
      <c r="W60" s="17"/>
      <c r="X60" s="17"/>
      <c r="Y60" s="17"/>
      <c r="Z60" s="17"/>
      <c r="AA60" s="17"/>
    </row>
    <row r="61" spans="1:27" ht="14.25" customHeight="1">
      <c r="A61" s="25"/>
      <c r="B61" s="25"/>
      <c r="C61" s="25"/>
      <c r="D61" s="55"/>
      <c r="E61" s="17"/>
      <c r="F61" s="17"/>
      <c r="G61" s="17"/>
      <c r="H61" s="17"/>
      <c r="I61" s="17"/>
      <c r="J61" s="17"/>
      <c r="K61" s="17"/>
      <c r="L61" s="17"/>
      <c r="M61" s="17"/>
      <c r="N61" s="17"/>
      <c r="O61" s="17"/>
      <c r="P61" s="17"/>
      <c r="Q61" s="17"/>
      <c r="R61" s="17"/>
      <c r="S61" s="17"/>
      <c r="T61" s="17"/>
      <c r="U61" s="17"/>
      <c r="V61" s="17"/>
      <c r="W61" s="17"/>
      <c r="X61" s="17"/>
      <c r="Y61" s="17"/>
      <c r="Z61" s="17"/>
      <c r="AA61" s="17"/>
    </row>
    <row r="62" spans="1:27" ht="14.25" customHeight="1">
      <c r="A62" s="25"/>
      <c r="B62" s="25"/>
      <c r="C62" s="25"/>
      <c r="D62" s="55"/>
      <c r="E62" s="17"/>
      <c r="F62" s="17"/>
      <c r="G62" s="17"/>
      <c r="H62" s="17"/>
      <c r="I62" s="17"/>
      <c r="J62" s="17"/>
      <c r="K62" s="17"/>
      <c r="L62" s="17"/>
      <c r="M62" s="17"/>
      <c r="N62" s="17"/>
      <c r="O62" s="17"/>
      <c r="P62" s="17"/>
      <c r="Q62" s="17"/>
      <c r="R62" s="17"/>
      <c r="S62" s="17"/>
      <c r="T62" s="17"/>
      <c r="U62" s="17"/>
      <c r="V62" s="17"/>
      <c r="W62" s="17"/>
      <c r="X62" s="17"/>
      <c r="Y62" s="17"/>
      <c r="Z62" s="17"/>
      <c r="AA62" s="17"/>
    </row>
    <row r="63" spans="1:27" ht="14.25" customHeight="1">
      <c r="A63" s="25"/>
      <c r="B63" s="25"/>
      <c r="C63" s="25"/>
      <c r="D63" s="55"/>
      <c r="E63" s="17"/>
      <c r="F63" s="17"/>
      <c r="G63" s="17"/>
      <c r="H63" s="17"/>
      <c r="I63" s="17"/>
      <c r="J63" s="17"/>
      <c r="K63" s="17"/>
      <c r="L63" s="17"/>
      <c r="M63" s="17"/>
      <c r="N63" s="17"/>
      <c r="O63" s="17"/>
      <c r="P63" s="17"/>
      <c r="Q63" s="17"/>
      <c r="R63" s="17"/>
      <c r="S63" s="17"/>
      <c r="T63" s="17"/>
      <c r="U63" s="17"/>
      <c r="V63" s="17"/>
      <c r="W63" s="17"/>
      <c r="X63" s="17"/>
      <c r="Y63" s="17"/>
      <c r="Z63" s="17"/>
      <c r="AA63" s="17"/>
    </row>
    <row r="64" spans="1:27" ht="14.25" customHeight="1">
      <c r="A64" s="25"/>
      <c r="B64" s="25"/>
      <c r="C64" s="25"/>
      <c r="D64" s="55"/>
      <c r="E64" s="17"/>
      <c r="F64" s="17"/>
      <c r="G64" s="17"/>
      <c r="H64" s="17"/>
      <c r="I64" s="17"/>
      <c r="J64" s="17"/>
      <c r="K64" s="17"/>
      <c r="L64" s="17"/>
      <c r="M64" s="17"/>
      <c r="N64" s="17"/>
      <c r="O64" s="17"/>
      <c r="P64" s="17"/>
      <c r="Q64" s="17"/>
      <c r="R64" s="17"/>
      <c r="S64" s="17"/>
      <c r="T64" s="17"/>
      <c r="U64" s="17"/>
      <c r="V64" s="17"/>
      <c r="W64" s="17"/>
      <c r="X64" s="17"/>
      <c r="Y64" s="17"/>
      <c r="Z64" s="17"/>
      <c r="AA64" s="17"/>
    </row>
    <row r="65" spans="1:27" ht="14.25" customHeight="1">
      <c r="A65" s="25"/>
      <c r="B65" s="25"/>
      <c r="C65" s="25"/>
      <c r="D65" s="55"/>
      <c r="E65" s="17"/>
      <c r="F65" s="17"/>
      <c r="G65" s="17"/>
      <c r="H65" s="17"/>
      <c r="I65" s="17"/>
      <c r="J65" s="17"/>
      <c r="K65" s="17"/>
      <c r="L65" s="17"/>
      <c r="M65" s="17"/>
      <c r="N65" s="17"/>
      <c r="O65" s="17"/>
      <c r="P65" s="17"/>
      <c r="Q65" s="17"/>
      <c r="R65" s="17"/>
      <c r="S65" s="17"/>
      <c r="T65" s="17"/>
      <c r="U65" s="17"/>
      <c r="V65" s="17"/>
      <c r="W65" s="17"/>
      <c r="X65" s="17"/>
      <c r="Y65" s="17"/>
      <c r="Z65" s="17"/>
      <c r="AA65" s="17"/>
    </row>
    <row r="66" spans="1:27" ht="14.25" customHeight="1">
      <c r="A66" s="25"/>
      <c r="B66" s="25"/>
      <c r="C66" s="25"/>
      <c r="D66" s="55"/>
      <c r="E66" s="17"/>
      <c r="F66" s="17"/>
      <c r="G66" s="17"/>
      <c r="H66" s="17"/>
      <c r="I66" s="17"/>
      <c r="J66" s="17"/>
      <c r="K66" s="17"/>
      <c r="L66" s="17"/>
      <c r="M66" s="17"/>
      <c r="N66" s="17"/>
      <c r="O66" s="17"/>
      <c r="P66" s="17"/>
      <c r="Q66" s="17"/>
      <c r="R66" s="17"/>
      <c r="S66" s="17"/>
      <c r="T66" s="17"/>
      <c r="U66" s="17"/>
      <c r="V66" s="17"/>
      <c r="W66" s="17"/>
      <c r="X66" s="17"/>
      <c r="Y66" s="17"/>
      <c r="Z66" s="17"/>
      <c r="AA66" s="17"/>
    </row>
    <row r="67" spans="1:27" ht="14.25" customHeight="1">
      <c r="A67" s="25"/>
      <c r="B67" s="25"/>
      <c r="C67" s="25"/>
      <c r="D67" s="55"/>
      <c r="E67" s="17"/>
      <c r="F67" s="17"/>
      <c r="G67" s="17"/>
      <c r="H67" s="17"/>
      <c r="I67" s="17"/>
      <c r="J67" s="17"/>
      <c r="K67" s="17"/>
      <c r="L67" s="17"/>
      <c r="M67" s="17"/>
      <c r="N67" s="17"/>
      <c r="O67" s="17"/>
      <c r="P67" s="17"/>
      <c r="Q67" s="17"/>
      <c r="R67" s="17"/>
      <c r="S67" s="17"/>
      <c r="T67" s="17"/>
      <c r="U67" s="17"/>
      <c r="V67" s="17"/>
      <c r="W67" s="17"/>
      <c r="X67" s="17"/>
      <c r="Y67" s="17"/>
      <c r="Z67" s="17"/>
      <c r="AA67" s="17"/>
    </row>
    <row r="68" spans="1:27" ht="14.25" customHeight="1">
      <c r="A68" s="25"/>
      <c r="B68" s="25"/>
      <c r="C68" s="25"/>
      <c r="D68" s="55"/>
      <c r="E68" s="17"/>
      <c r="F68" s="17"/>
      <c r="G68" s="17"/>
      <c r="H68" s="17"/>
      <c r="I68" s="17"/>
      <c r="J68" s="17"/>
      <c r="K68" s="17"/>
      <c r="L68" s="17"/>
      <c r="M68" s="17"/>
      <c r="N68" s="17"/>
      <c r="O68" s="17"/>
      <c r="P68" s="17"/>
      <c r="Q68" s="17"/>
      <c r="R68" s="17"/>
      <c r="S68" s="17"/>
      <c r="T68" s="17"/>
      <c r="U68" s="17"/>
      <c r="V68" s="17"/>
      <c r="W68" s="17"/>
      <c r="X68" s="17"/>
      <c r="Y68" s="17"/>
      <c r="Z68" s="17"/>
      <c r="AA68" s="17"/>
    </row>
    <row r="69" spans="1:27" ht="14.25" customHeight="1">
      <c r="A69" s="25"/>
      <c r="B69" s="25"/>
      <c r="C69" s="25"/>
      <c r="D69" s="55"/>
      <c r="E69" s="17"/>
      <c r="F69" s="17"/>
      <c r="G69" s="17"/>
      <c r="H69" s="17"/>
      <c r="I69" s="17"/>
      <c r="J69" s="17"/>
      <c r="K69" s="17"/>
      <c r="L69" s="17"/>
      <c r="M69" s="17"/>
      <c r="N69" s="17"/>
      <c r="O69" s="17"/>
      <c r="P69" s="17"/>
      <c r="Q69" s="17"/>
      <c r="R69" s="17"/>
      <c r="S69" s="17"/>
      <c r="T69" s="17"/>
      <c r="U69" s="17"/>
      <c r="V69" s="17"/>
      <c r="W69" s="17"/>
      <c r="X69" s="17"/>
      <c r="Y69" s="17"/>
      <c r="Z69" s="17"/>
      <c r="AA69" s="17"/>
    </row>
    <row r="70" spans="1:27" ht="14.25" customHeight="1">
      <c r="A70" s="25"/>
      <c r="B70" s="25"/>
      <c r="C70" s="25"/>
      <c r="D70" s="55"/>
      <c r="E70" s="17"/>
      <c r="F70" s="17"/>
      <c r="G70" s="17"/>
      <c r="H70" s="17"/>
      <c r="I70" s="17"/>
      <c r="J70" s="17"/>
      <c r="K70" s="17"/>
      <c r="L70" s="17"/>
      <c r="M70" s="17"/>
      <c r="N70" s="17"/>
      <c r="O70" s="17"/>
      <c r="P70" s="17"/>
      <c r="Q70" s="17"/>
      <c r="R70" s="17"/>
      <c r="S70" s="17"/>
      <c r="T70" s="17"/>
      <c r="U70" s="17"/>
      <c r="V70" s="17"/>
      <c r="W70" s="17"/>
      <c r="X70" s="17"/>
      <c r="Y70" s="17"/>
      <c r="Z70" s="17"/>
      <c r="AA70" s="17"/>
    </row>
    <row r="71" spans="1:27" ht="14.25" customHeight="1">
      <c r="A71" s="25"/>
      <c r="B71" s="25"/>
      <c r="C71" s="25"/>
      <c r="D71" s="55"/>
      <c r="E71" s="17"/>
      <c r="F71" s="17"/>
      <c r="G71" s="17"/>
      <c r="H71" s="17"/>
      <c r="I71" s="17"/>
      <c r="J71" s="17"/>
      <c r="K71" s="17"/>
      <c r="L71" s="17"/>
      <c r="M71" s="17"/>
      <c r="N71" s="17"/>
      <c r="O71" s="17"/>
      <c r="P71" s="17"/>
      <c r="Q71" s="17"/>
      <c r="R71" s="17"/>
      <c r="S71" s="17"/>
      <c r="T71" s="17"/>
      <c r="U71" s="17"/>
      <c r="V71" s="17"/>
      <c r="W71" s="17"/>
      <c r="X71" s="17"/>
      <c r="Y71" s="17"/>
      <c r="Z71" s="17"/>
      <c r="AA71" s="17"/>
    </row>
    <row r="72" spans="1:27" ht="14.25" customHeight="1">
      <c r="A72" s="25"/>
      <c r="B72" s="25"/>
      <c r="C72" s="25"/>
      <c r="D72" s="55"/>
      <c r="E72" s="17"/>
      <c r="F72" s="17"/>
      <c r="G72" s="17"/>
      <c r="H72" s="17"/>
      <c r="I72" s="17"/>
      <c r="J72" s="17"/>
      <c r="K72" s="17"/>
      <c r="L72" s="17"/>
      <c r="M72" s="17"/>
      <c r="N72" s="17"/>
      <c r="O72" s="17"/>
      <c r="P72" s="17"/>
      <c r="Q72" s="17"/>
      <c r="R72" s="17"/>
      <c r="S72" s="17"/>
      <c r="T72" s="17"/>
      <c r="U72" s="17"/>
      <c r="V72" s="17"/>
      <c r="W72" s="17"/>
      <c r="X72" s="17"/>
      <c r="Y72" s="17"/>
      <c r="Z72" s="17"/>
      <c r="AA72" s="17"/>
    </row>
    <row r="73" spans="1:27" ht="14.25" customHeight="1">
      <c r="A73" s="25"/>
      <c r="B73" s="25"/>
      <c r="C73" s="25"/>
      <c r="D73" s="55"/>
      <c r="E73" s="17"/>
      <c r="F73" s="17"/>
      <c r="G73" s="17"/>
      <c r="H73" s="17"/>
      <c r="I73" s="17"/>
      <c r="J73" s="17"/>
      <c r="K73" s="17"/>
      <c r="L73" s="17"/>
      <c r="M73" s="17"/>
      <c r="N73" s="17"/>
      <c r="O73" s="17"/>
      <c r="P73" s="17"/>
      <c r="Q73" s="17"/>
      <c r="R73" s="17"/>
      <c r="S73" s="17"/>
      <c r="T73" s="17"/>
      <c r="U73" s="17"/>
      <c r="V73" s="17"/>
      <c r="W73" s="17"/>
      <c r="X73" s="17"/>
      <c r="Y73" s="17"/>
      <c r="Z73" s="17"/>
      <c r="AA73" s="17"/>
    </row>
    <row r="74" spans="1:27" ht="14.25" customHeight="1">
      <c r="A74" s="25"/>
      <c r="B74" s="25"/>
      <c r="C74" s="25"/>
      <c r="D74" s="55"/>
      <c r="E74" s="17"/>
      <c r="F74" s="17"/>
      <c r="G74" s="17"/>
      <c r="H74" s="17"/>
      <c r="I74" s="17"/>
      <c r="J74" s="17"/>
      <c r="K74" s="17"/>
      <c r="L74" s="17"/>
      <c r="M74" s="17"/>
      <c r="N74" s="17"/>
      <c r="O74" s="17"/>
      <c r="P74" s="17"/>
      <c r="Q74" s="17"/>
      <c r="R74" s="17"/>
      <c r="S74" s="17"/>
      <c r="T74" s="17"/>
      <c r="U74" s="17"/>
      <c r="V74" s="17"/>
      <c r="W74" s="17"/>
      <c r="X74" s="17"/>
      <c r="Y74" s="17"/>
      <c r="Z74" s="17"/>
      <c r="AA74" s="17"/>
    </row>
    <row r="75" spans="1:27" ht="14.25" customHeight="1">
      <c r="A75" s="25"/>
      <c r="B75" s="25"/>
      <c r="C75" s="25"/>
      <c r="D75" s="55"/>
      <c r="E75" s="17"/>
      <c r="F75" s="17"/>
      <c r="G75" s="17"/>
      <c r="H75" s="17"/>
      <c r="I75" s="17"/>
      <c r="J75" s="17"/>
      <c r="K75" s="17"/>
      <c r="L75" s="17"/>
      <c r="M75" s="17"/>
      <c r="N75" s="17"/>
      <c r="O75" s="17"/>
      <c r="P75" s="17"/>
      <c r="Q75" s="17"/>
      <c r="R75" s="17"/>
      <c r="S75" s="17"/>
      <c r="T75" s="17"/>
      <c r="U75" s="17"/>
      <c r="V75" s="17"/>
      <c r="W75" s="17"/>
      <c r="X75" s="17"/>
      <c r="Y75" s="17"/>
      <c r="Z75" s="17"/>
      <c r="AA75" s="17"/>
    </row>
    <row r="76" spans="1:27" ht="14.25" customHeight="1">
      <c r="A76" s="25"/>
      <c r="B76" s="25"/>
      <c r="C76" s="25"/>
      <c r="D76" s="55"/>
      <c r="E76" s="17"/>
      <c r="F76" s="17"/>
      <c r="G76" s="17"/>
      <c r="H76" s="17"/>
      <c r="I76" s="17"/>
      <c r="J76" s="17"/>
      <c r="K76" s="17"/>
      <c r="L76" s="17"/>
      <c r="M76" s="17"/>
      <c r="N76" s="17"/>
      <c r="O76" s="17"/>
      <c r="P76" s="17"/>
      <c r="Q76" s="17"/>
      <c r="R76" s="17"/>
      <c r="S76" s="17"/>
      <c r="T76" s="17"/>
      <c r="U76" s="17"/>
      <c r="V76" s="17"/>
      <c r="W76" s="17"/>
      <c r="X76" s="17"/>
      <c r="Y76" s="17"/>
      <c r="Z76" s="17"/>
      <c r="AA76" s="17"/>
    </row>
    <row r="77" spans="1:27" ht="14.25" customHeight="1">
      <c r="A77" s="25"/>
      <c r="B77" s="25"/>
      <c r="C77" s="25"/>
      <c r="D77" s="55"/>
      <c r="E77" s="17"/>
      <c r="F77" s="17"/>
      <c r="G77" s="17"/>
      <c r="H77" s="17"/>
      <c r="I77" s="17"/>
      <c r="J77" s="17"/>
      <c r="K77" s="17"/>
      <c r="L77" s="17"/>
      <c r="M77" s="17"/>
      <c r="N77" s="17"/>
      <c r="O77" s="17"/>
      <c r="P77" s="17"/>
      <c r="Q77" s="17"/>
      <c r="R77" s="17"/>
      <c r="S77" s="17"/>
      <c r="T77" s="17"/>
      <c r="U77" s="17"/>
      <c r="V77" s="17"/>
      <c r="W77" s="17"/>
      <c r="X77" s="17"/>
      <c r="Y77" s="17"/>
      <c r="Z77" s="17"/>
      <c r="AA77" s="17"/>
    </row>
    <row r="78" spans="1:27" ht="14.25" customHeight="1">
      <c r="A78" s="25"/>
      <c r="B78" s="25"/>
      <c r="C78" s="25"/>
      <c r="D78" s="55"/>
      <c r="E78" s="17"/>
      <c r="F78" s="17"/>
      <c r="G78" s="17"/>
      <c r="H78" s="17"/>
      <c r="I78" s="17"/>
      <c r="J78" s="17"/>
      <c r="K78" s="17"/>
      <c r="L78" s="17"/>
      <c r="M78" s="17"/>
      <c r="N78" s="17"/>
      <c r="O78" s="17"/>
      <c r="P78" s="17"/>
      <c r="Q78" s="17"/>
      <c r="R78" s="17"/>
      <c r="S78" s="17"/>
      <c r="T78" s="17"/>
      <c r="U78" s="17"/>
      <c r="V78" s="17"/>
      <c r="W78" s="17"/>
      <c r="X78" s="17"/>
      <c r="Y78" s="17"/>
      <c r="Z78" s="17"/>
      <c r="AA78" s="17"/>
    </row>
    <row r="79" spans="1:27" ht="14.25" customHeight="1">
      <c r="A79" s="25"/>
      <c r="B79" s="25"/>
      <c r="C79" s="25"/>
      <c r="D79" s="55"/>
      <c r="E79" s="17"/>
      <c r="F79" s="17"/>
      <c r="G79" s="17"/>
      <c r="H79" s="17"/>
      <c r="I79" s="17"/>
      <c r="J79" s="17"/>
      <c r="K79" s="17"/>
      <c r="L79" s="17"/>
      <c r="M79" s="17"/>
      <c r="N79" s="17"/>
      <c r="O79" s="17"/>
      <c r="P79" s="17"/>
      <c r="Q79" s="17"/>
      <c r="R79" s="17"/>
      <c r="S79" s="17"/>
      <c r="T79" s="17"/>
      <c r="U79" s="17"/>
      <c r="V79" s="17"/>
      <c r="W79" s="17"/>
      <c r="X79" s="17"/>
      <c r="Y79" s="17"/>
      <c r="Z79" s="17"/>
      <c r="AA79" s="17"/>
    </row>
    <row r="80" spans="1:27" ht="14.25" customHeight="1">
      <c r="A80" s="25"/>
      <c r="B80" s="25"/>
      <c r="C80" s="25"/>
      <c r="D80" s="55"/>
      <c r="E80" s="17"/>
      <c r="F80" s="17"/>
      <c r="G80" s="17"/>
      <c r="H80" s="17"/>
      <c r="I80" s="17"/>
      <c r="J80" s="17"/>
      <c r="K80" s="17"/>
      <c r="L80" s="17"/>
      <c r="M80" s="17"/>
      <c r="N80" s="17"/>
      <c r="O80" s="17"/>
      <c r="P80" s="17"/>
      <c r="Q80" s="17"/>
      <c r="R80" s="17"/>
      <c r="S80" s="17"/>
      <c r="T80" s="17"/>
      <c r="U80" s="17"/>
      <c r="V80" s="17"/>
      <c r="W80" s="17"/>
      <c r="X80" s="17"/>
      <c r="Y80" s="17"/>
      <c r="Z80" s="17"/>
      <c r="AA80" s="17"/>
    </row>
    <row r="81" spans="1:27" ht="14.25" customHeight="1">
      <c r="A81" s="25"/>
      <c r="B81" s="25"/>
      <c r="C81" s="25"/>
      <c r="D81" s="55"/>
      <c r="E81" s="17"/>
      <c r="F81" s="17"/>
      <c r="G81" s="17"/>
      <c r="H81" s="17"/>
      <c r="I81" s="17"/>
      <c r="J81" s="17"/>
      <c r="K81" s="17"/>
      <c r="L81" s="17"/>
      <c r="M81" s="17"/>
      <c r="N81" s="17"/>
      <c r="O81" s="17"/>
      <c r="P81" s="17"/>
      <c r="Q81" s="17"/>
      <c r="R81" s="17"/>
      <c r="S81" s="17"/>
      <c r="T81" s="17"/>
      <c r="U81" s="17"/>
      <c r="V81" s="17"/>
      <c r="W81" s="17"/>
      <c r="X81" s="17"/>
      <c r="Y81" s="17"/>
      <c r="Z81" s="17"/>
      <c r="AA81" s="17"/>
    </row>
    <row r="82" spans="1:27" ht="14.25" customHeight="1">
      <c r="A82" s="25"/>
      <c r="B82" s="25"/>
      <c r="C82" s="25"/>
      <c r="D82" s="55"/>
      <c r="E82" s="17"/>
      <c r="F82" s="17"/>
      <c r="G82" s="17"/>
      <c r="H82" s="17"/>
      <c r="I82" s="17"/>
      <c r="J82" s="17"/>
      <c r="K82" s="17"/>
      <c r="L82" s="17"/>
      <c r="M82" s="17"/>
      <c r="N82" s="17"/>
      <c r="O82" s="17"/>
      <c r="P82" s="17"/>
      <c r="Q82" s="17"/>
      <c r="R82" s="17"/>
      <c r="S82" s="17"/>
      <c r="T82" s="17"/>
      <c r="U82" s="17"/>
      <c r="V82" s="17"/>
      <c r="W82" s="17"/>
      <c r="X82" s="17"/>
      <c r="Y82" s="17"/>
      <c r="Z82" s="17"/>
      <c r="AA82" s="17"/>
    </row>
    <row r="83" spans="1:27" ht="14.25" customHeight="1">
      <c r="A83" s="25"/>
      <c r="B83" s="25"/>
      <c r="C83" s="25"/>
      <c r="D83" s="55"/>
      <c r="E83" s="17"/>
      <c r="F83" s="17"/>
      <c r="G83" s="17"/>
      <c r="H83" s="17"/>
      <c r="I83" s="17"/>
      <c r="J83" s="17"/>
      <c r="K83" s="17"/>
      <c r="L83" s="17"/>
      <c r="M83" s="17"/>
      <c r="N83" s="17"/>
      <c r="O83" s="17"/>
      <c r="P83" s="17"/>
      <c r="Q83" s="17"/>
      <c r="R83" s="17"/>
      <c r="S83" s="17"/>
      <c r="T83" s="17"/>
      <c r="U83" s="17"/>
      <c r="V83" s="17"/>
      <c r="W83" s="17"/>
      <c r="X83" s="17"/>
      <c r="Y83" s="17"/>
      <c r="Z83" s="17"/>
      <c r="AA83" s="17"/>
    </row>
    <row r="84" spans="1:27" ht="14.25" customHeight="1">
      <c r="A84" s="25"/>
      <c r="B84" s="25"/>
      <c r="C84" s="25"/>
      <c r="D84" s="55"/>
      <c r="E84" s="17"/>
      <c r="F84" s="17"/>
      <c r="G84" s="17"/>
      <c r="H84" s="17"/>
      <c r="I84" s="17"/>
      <c r="J84" s="17"/>
      <c r="K84" s="17"/>
      <c r="L84" s="17"/>
      <c r="M84" s="17"/>
      <c r="N84" s="17"/>
      <c r="O84" s="17"/>
      <c r="P84" s="17"/>
      <c r="Q84" s="17"/>
      <c r="R84" s="17"/>
      <c r="S84" s="17"/>
      <c r="T84" s="17"/>
      <c r="U84" s="17"/>
      <c r="V84" s="17"/>
      <c r="W84" s="17"/>
      <c r="X84" s="17"/>
      <c r="Y84" s="17"/>
      <c r="Z84" s="17"/>
      <c r="AA84" s="17"/>
    </row>
    <row r="85" spans="1:27" ht="14.25" customHeight="1">
      <c r="A85" s="25"/>
      <c r="B85" s="25"/>
      <c r="C85" s="25"/>
      <c r="D85" s="55"/>
      <c r="E85" s="17"/>
      <c r="F85" s="17"/>
      <c r="G85" s="17"/>
      <c r="H85" s="17"/>
      <c r="I85" s="17"/>
      <c r="J85" s="17"/>
      <c r="K85" s="17"/>
      <c r="L85" s="17"/>
      <c r="M85" s="17"/>
      <c r="N85" s="17"/>
      <c r="O85" s="17"/>
      <c r="P85" s="17"/>
      <c r="Q85" s="17"/>
      <c r="R85" s="17"/>
      <c r="S85" s="17"/>
      <c r="T85" s="17"/>
      <c r="U85" s="17"/>
      <c r="V85" s="17"/>
      <c r="W85" s="17"/>
      <c r="X85" s="17"/>
      <c r="Y85" s="17"/>
      <c r="Z85" s="17"/>
      <c r="AA85" s="17"/>
    </row>
    <row r="86" spans="1:27" ht="14.25" customHeight="1">
      <c r="A86" s="25"/>
      <c r="B86" s="25"/>
      <c r="C86" s="25"/>
      <c r="D86" s="55"/>
      <c r="E86" s="17"/>
      <c r="F86" s="17"/>
      <c r="G86" s="17"/>
      <c r="H86" s="17"/>
      <c r="I86" s="17"/>
      <c r="J86" s="17"/>
      <c r="K86" s="17"/>
      <c r="L86" s="17"/>
      <c r="M86" s="17"/>
      <c r="N86" s="17"/>
      <c r="O86" s="17"/>
      <c r="P86" s="17"/>
      <c r="Q86" s="17"/>
      <c r="R86" s="17"/>
      <c r="S86" s="17"/>
      <c r="T86" s="17"/>
      <c r="U86" s="17"/>
      <c r="V86" s="17"/>
      <c r="W86" s="17"/>
      <c r="X86" s="17"/>
      <c r="Y86" s="17"/>
      <c r="Z86" s="17"/>
      <c r="AA86" s="17"/>
    </row>
    <row r="87" spans="1:27" ht="14.25" customHeight="1">
      <c r="A87" s="25"/>
      <c r="B87" s="25"/>
      <c r="C87" s="25"/>
      <c r="D87" s="55"/>
      <c r="E87" s="17"/>
      <c r="F87" s="17"/>
      <c r="G87" s="17"/>
      <c r="H87" s="17"/>
      <c r="I87" s="17"/>
      <c r="J87" s="17"/>
      <c r="K87" s="17"/>
      <c r="L87" s="17"/>
      <c r="M87" s="17"/>
      <c r="N87" s="17"/>
      <c r="O87" s="17"/>
      <c r="P87" s="17"/>
      <c r="Q87" s="17"/>
      <c r="R87" s="17"/>
      <c r="S87" s="17"/>
      <c r="T87" s="17"/>
      <c r="U87" s="17"/>
      <c r="V87" s="17"/>
      <c r="W87" s="17"/>
      <c r="X87" s="17"/>
      <c r="Y87" s="17"/>
      <c r="Z87" s="17"/>
      <c r="AA87" s="17"/>
    </row>
    <row r="88" spans="1:27" ht="14.25" customHeight="1">
      <c r="A88" s="25"/>
      <c r="B88" s="25"/>
      <c r="C88" s="25"/>
      <c r="D88" s="55"/>
      <c r="E88" s="17"/>
      <c r="F88" s="17"/>
      <c r="G88" s="17"/>
      <c r="H88" s="17"/>
      <c r="I88" s="17"/>
      <c r="J88" s="17"/>
      <c r="K88" s="17"/>
      <c r="L88" s="17"/>
      <c r="M88" s="17"/>
      <c r="N88" s="17"/>
      <c r="O88" s="17"/>
      <c r="P88" s="17"/>
      <c r="Q88" s="17"/>
      <c r="R88" s="17"/>
      <c r="S88" s="17"/>
      <c r="T88" s="17"/>
      <c r="U88" s="17"/>
      <c r="V88" s="17"/>
      <c r="W88" s="17"/>
      <c r="X88" s="17"/>
      <c r="Y88" s="17"/>
      <c r="Z88" s="17"/>
      <c r="AA88" s="17"/>
    </row>
    <row r="89" spans="1:27" ht="14.25" customHeight="1">
      <c r="A89" s="25"/>
      <c r="B89" s="25"/>
      <c r="C89" s="25"/>
      <c r="D89" s="55"/>
      <c r="E89" s="17"/>
      <c r="F89" s="17"/>
      <c r="G89" s="17"/>
      <c r="H89" s="17"/>
      <c r="I89" s="17"/>
      <c r="J89" s="17"/>
      <c r="K89" s="17"/>
      <c r="L89" s="17"/>
      <c r="M89" s="17"/>
      <c r="N89" s="17"/>
      <c r="O89" s="17"/>
      <c r="P89" s="17"/>
      <c r="Q89" s="17"/>
      <c r="R89" s="17"/>
      <c r="S89" s="17"/>
      <c r="T89" s="17"/>
      <c r="U89" s="17"/>
      <c r="V89" s="17"/>
      <c r="W89" s="17"/>
      <c r="X89" s="17"/>
      <c r="Y89" s="17"/>
      <c r="Z89" s="17"/>
      <c r="AA89" s="17"/>
    </row>
    <row r="90" spans="1:27" ht="14.25" customHeight="1">
      <c r="A90" s="25"/>
      <c r="B90" s="25"/>
      <c r="C90" s="25"/>
      <c r="D90" s="55"/>
      <c r="E90" s="17"/>
      <c r="F90" s="17"/>
      <c r="G90" s="17"/>
      <c r="H90" s="17"/>
      <c r="I90" s="17"/>
      <c r="J90" s="17"/>
      <c r="K90" s="17"/>
      <c r="L90" s="17"/>
      <c r="M90" s="17"/>
      <c r="N90" s="17"/>
      <c r="O90" s="17"/>
      <c r="P90" s="17"/>
      <c r="Q90" s="17"/>
      <c r="R90" s="17"/>
      <c r="S90" s="17"/>
      <c r="T90" s="17"/>
      <c r="U90" s="17"/>
      <c r="V90" s="17"/>
      <c r="W90" s="17"/>
      <c r="X90" s="17"/>
      <c r="Y90" s="17"/>
      <c r="Z90" s="17"/>
      <c r="AA90" s="17"/>
    </row>
    <row r="91" spans="1:27" ht="14.25" customHeight="1">
      <c r="A91" s="25"/>
      <c r="B91" s="25"/>
      <c r="C91" s="25"/>
      <c r="D91" s="55"/>
      <c r="E91" s="17"/>
      <c r="F91" s="17"/>
      <c r="G91" s="17"/>
      <c r="H91" s="17"/>
      <c r="I91" s="17"/>
      <c r="J91" s="17"/>
      <c r="K91" s="17"/>
      <c r="L91" s="17"/>
      <c r="M91" s="17"/>
      <c r="N91" s="17"/>
      <c r="O91" s="17"/>
      <c r="P91" s="17"/>
      <c r="Q91" s="17"/>
      <c r="R91" s="17"/>
      <c r="S91" s="17"/>
      <c r="T91" s="17"/>
      <c r="U91" s="17"/>
      <c r="V91" s="17"/>
      <c r="W91" s="17"/>
      <c r="X91" s="17"/>
      <c r="Y91" s="17"/>
      <c r="Z91" s="17"/>
      <c r="AA91" s="17"/>
    </row>
    <row r="92" spans="1:27" ht="14.25" customHeight="1">
      <c r="A92" s="25"/>
      <c r="B92" s="25"/>
      <c r="C92" s="25"/>
      <c r="D92" s="55"/>
      <c r="E92" s="17"/>
      <c r="F92" s="17"/>
      <c r="G92" s="17"/>
      <c r="H92" s="17"/>
      <c r="I92" s="17"/>
      <c r="J92" s="17"/>
      <c r="K92" s="17"/>
      <c r="L92" s="17"/>
      <c r="M92" s="17"/>
      <c r="N92" s="17"/>
      <c r="O92" s="17"/>
      <c r="P92" s="17"/>
      <c r="Q92" s="17"/>
      <c r="R92" s="17"/>
      <c r="S92" s="17"/>
      <c r="T92" s="17"/>
      <c r="U92" s="17"/>
      <c r="V92" s="17"/>
      <c r="W92" s="17"/>
      <c r="X92" s="17"/>
      <c r="Y92" s="17"/>
      <c r="Z92" s="17"/>
      <c r="AA92" s="17"/>
    </row>
    <row r="93" spans="1:27" ht="14.25" customHeight="1">
      <c r="A93" s="25"/>
      <c r="B93" s="25"/>
      <c r="C93" s="25"/>
      <c r="D93" s="55"/>
      <c r="E93" s="17"/>
      <c r="F93" s="17"/>
      <c r="G93" s="17"/>
      <c r="H93" s="17"/>
      <c r="I93" s="17"/>
      <c r="J93" s="17"/>
      <c r="K93" s="17"/>
      <c r="L93" s="17"/>
      <c r="M93" s="17"/>
      <c r="N93" s="17"/>
      <c r="O93" s="17"/>
      <c r="P93" s="17"/>
      <c r="Q93" s="17"/>
      <c r="R93" s="17"/>
      <c r="S93" s="17"/>
      <c r="T93" s="17"/>
      <c r="U93" s="17"/>
      <c r="V93" s="17"/>
      <c r="W93" s="17"/>
      <c r="X93" s="17"/>
      <c r="Y93" s="17"/>
      <c r="Z93" s="17"/>
      <c r="AA93" s="17"/>
    </row>
    <row r="94" spans="1:27" ht="14.25" customHeight="1">
      <c r="A94" s="25"/>
      <c r="B94" s="25"/>
      <c r="C94" s="25"/>
      <c r="D94" s="55"/>
      <c r="E94" s="17"/>
      <c r="F94" s="17"/>
      <c r="G94" s="17"/>
      <c r="H94" s="17"/>
      <c r="I94" s="17"/>
      <c r="J94" s="17"/>
      <c r="K94" s="17"/>
      <c r="L94" s="17"/>
      <c r="M94" s="17"/>
      <c r="N94" s="17"/>
      <c r="O94" s="17"/>
      <c r="P94" s="17"/>
      <c r="Q94" s="17"/>
      <c r="R94" s="17"/>
      <c r="S94" s="17"/>
      <c r="T94" s="17"/>
      <c r="U94" s="17"/>
      <c r="V94" s="17"/>
      <c r="W94" s="17"/>
      <c r="X94" s="17"/>
      <c r="Y94" s="17"/>
      <c r="Z94" s="17"/>
      <c r="AA94" s="17"/>
    </row>
    <row r="95" spans="1:27" ht="14.25" customHeight="1">
      <c r="A95" s="25"/>
      <c r="B95" s="25"/>
      <c r="C95" s="25"/>
      <c r="D95" s="55"/>
      <c r="E95" s="17"/>
      <c r="F95" s="17"/>
      <c r="G95" s="17"/>
      <c r="H95" s="17"/>
      <c r="I95" s="17"/>
      <c r="J95" s="17"/>
      <c r="K95" s="17"/>
      <c r="L95" s="17"/>
      <c r="M95" s="17"/>
      <c r="N95" s="17"/>
      <c r="O95" s="17"/>
      <c r="P95" s="17"/>
      <c r="Q95" s="17"/>
      <c r="R95" s="17"/>
      <c r="S95" s="17"/>
      <c r="T95" s="17"/>
      <c r="U95" s="17"/>
      <c r="V95" s="17"/>
      <c r="W95" s="17"/>
      <c r="X95" s="17"/>
      <c r="Y95" s="17"/>
      <c r="Z95" s="17"/>
      <c r="AA95" s="17"/>
    </row>
    <row r="96" spans="1:27" ht="14.25" customHeight="1">
      <c r="A96" s="25"/>
      <c r="B96" s="25"/>
      <c r="C96" s="25"/>
      <c r="D96" s="55"/>
      <c r="E96" s="17"/>
      <c r="F96" s="17"/>
      <c r="G96" s="17"/>
      <c r="H96" s="17"/>
      <c r="I96" s="17"/>
      <c r="J96" s="17"/>
      <c r="K96" s="17"/>
      <c r="L96" s="17"/>
      <c r="M96" s="17"/>
      <c r="N96" s="17"/>
      <c r="O96" s="17"/>
      <c r="P96" s="17"/>
      <c r="Q96" s="17"/>
      <c r="R96" s="17"/>
      <c r="S96" s="17"/>
      <c r="T96" s="17"/>
      <c r="U96" s="17"/>
      <c r="V96" s="17"/>
      <c r="W96" s="17"/>
      <c r="X96" s="17"/>
      <c r="Y96" s="17"/>
      <c r="Z96" s="17"/>
      <c r="AA96" s="17"/>
    </row>
    <row r="97" spans="1:27" ht="14.25" customHeight="1">
      <c r="A97" s="25"/>
      <c r="B97" s="25"/>
      <c r="C97" s="25"/>
      <c r="D97" s="55"/>
      <c r="E97" s="17"/>
      <c r="F97" s="17"/>
      <c r="G97" s="17"/>
      <c r="H97" s="17"/>
      <c r="I97" s="17"/>
      <c r="J97" s="17"/>
      <c r="K97" s="17"/>
      <c r="L97" s="17"/>
      <c r="M97" s="17"/>
      <c r="N97" s="17"/>
      <c r="O97" s="17"/>
      <c r="P97" s="17"/>
      <c r="Q97" s="17"/>
      <c r="R97" s="17"/>
      <c r="S97" s="17"/>
      <c r="T97" s="17"/>
      <c r="U97" s="17"/>
      <c r="V97" s="17"/>
      <c r="W97" s="17"/>
      <c r="X97" s="17"/>
      <c r="Y97" s="17"/>
      <c r="Z97" s="17"/>
      <c r="AA97" s="17"/>
    </row>
    <row r="98" spans="1:27" ht="14.25" customHeight="1">
      <c r="A98" s="25"/>
      <c r="B98" s="25"/>
      <c r="C98" s="25"/>
      <c r="D98" s="55"/>
      <c r="E98" s="17"/>
      <c r="F98" s="17"/>
      <c r="G98" s="17"/>
      <c r="H98" s="17"/>
      <c r="I98" s="17"/>
      <c r="J98" s="17"/>
      <c r="K98" s="17"/>
      <c r="L98" s="17"/>
      <c r="M98" s="17"/>
      <c r="N98" s="17"/>
      <c r="O98" s="17"/>
      <c r="P98" s="17"/>
      <c r="Q98" s="17"/>
      <c r="R98" s="17"/>
      <c r="S98" s="17"/>
      <c r="T98" s="17"/>
      <c r="U98" s="17"/>
      <c r="V98" s="17"/>
      <c r="W98" s="17"/>
      <c r="X98" s="17"/>
      <c r="Y98" s="17"/>
      <c r="Z98" s="17"/>
      <c r="AA98" s="17"/>
    </row>
    <row r="99" spans="1:27" ht="14.25" customHeight="1">
      <c r="A99" s="25"/>
      <c r="B99" s="25"/>
      <c r="C99" s="25"/>
      <c r="D99" s="55"/>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4.25" customHeight="1">
      <c r="A100" s="25"/>
      <c r="B100" s="25"/>
      <c r="C100" s="25"/>
      <c r="D100" s="55"/>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4.25" customHeight="1">
      <c r="A101" s="25"/>
      <c r="B101" s="25"/>
      <c r="C101" s="25"/>
      <c r="D101" s="55"/>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4.25" customHeight="1">
      <c r="A102" s="25"/>
      <c r="B102" s="25"/>
      <c r="C102" s="25"/>
      <c r="D102" s="55"/>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4.25" customHeight="1">
      <c r="A103" s="25"/>
      <c r="B103" s="25"/>
      <c r="C103" s="25"/>
      <c r="D103" s="55"/>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4.25" customHeight="1">
      <c r="A104" s="25"/>
      <c r="B104" s="25"/>
      <c r="C104" s="25"/>
      <c r="D104" s="55"/>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4.25" customHeight="1">
      <c r="A105" s="25"/>
      <c r="B105" s="25"/>
      <c r="C105" s="25"/>
      <c r="D105" s="55"/>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4.25" customHeight="1">
      <c r="A106" s="25"/>
      <c r="B106" s="25"/>
      <c r="C106" s="25"/>
      <c r="D106" s="55"/>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4.25" customHeight="1">
      <c r="A107" s="25"/>
      <c r="B107" s="25"/>
      <c r="C107" s="25"/>
      <c r="D107" s="55"/>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4.25" customHeight="1">
      <c r="A108" s="25"/>
      <c r="B108" s="25"/>
      <c r="C108" s="25"/>
      <c r="D108" s="55"/>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4.25" customHeight="1">
      <c r="A109" s="25"/>
      <c r="B109" s="25"/>
      <c r="C109" s="25"/>
      <c r="D109" s="55"/>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4.25" customHeight="1">
      <c r="A110" s="25"/>
      <c r="B110" s="25"/>
      <c r="C110" s="25"/>
      <c r="D110" s="55"/>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4.25" customHeight="1">
      <c r="A111" s="25"/>
      <c r="B111" s="25"/>
      <c r="C111" s="25"/>
      <c r="D111" s="55"/>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4.25" customHeight="1">
      <c r="A112" s="25"/>
      <c r="B112" s="25"/>
      <c r="C112" s="25"/>
      <c r="D112" s="55"/>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4.25" customHeight="1">
      <c r="A113" s="25"/>
      <c r="B113" s="25"/>
      <c r="C113" s="25"/>
      <c r="D113" s="55"/>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4.25" customHeight="1">
      <c r="A114" s="25"/>
      <c r="B114" s="25"/>
      <c r="C114" s="25"/>
      <c r="D114" s="55"/>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4.25" customHeight="1">
      <c r="A115" s="25"/>
      <c r="B115" s="25"/>
      <c r="C115" s="25"/>
      <c r="D115" s="55"/>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4.25" customHeight="1">
      <c r="A116" s="25"/>
      <c r="B116" s="25"/>
      <c r="C116" s="25"/>
      <c r="D116" s="55"/>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4.25" customHeight="1">
      <c r="A117" s="25"/>
      <c r="B117" s="25"/>
      <c r="C117" s="25"/>
      <c r="D117" s="55"/>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4.25" customHeight="1">
      <c r="A118" s="25"/>
      <c r="B118" s="25"/>
      <c r="C118" s="25"/>
      <c r="D118" s="55"/>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4.25" customHeight="1">
      <c r="A119" s="25"/>
      <c r="B119" s="25"/>
      <c r="C119" s="25"/>
      <c r="D119" s="55"/>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4.25" customHeight="1">
      <c r="A120" s="25"/>
      <c r="B120" s="25"/>
      <c r="C120" s="25"/>
      <c r="D120" s="55"/>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4.25" customHeight="1">
      <c r="A121" s="25"/>
      <c r="B121" s="25"/>
      <c r="C121" s="25"/>
      <c r="D121" s="55"/>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4.25" customHeight="1">
      <c r="A122" s="25"/>
      <c r="B122" s="25"/>
      <c r="C122" s="25"/>
      <c r="D122" s="55"/>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4.25" customHeight="1">
      <c r="A123" s="25"/>
      <c r="B123" s="25"/>
      <c r="C123" s="25"/>
      <c r="D123" s="55"/>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4.25" customHeight="1">
      <c r="A124" s="25"/>
      <c r="B124" s="25"/>
      <c r="C124" s="25"/>
      <c r="D124" s="55"/>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4.25" customHeight="1">
      <c r="A125" s="25"/>
      <c r="B125" s="25"/>
      <c r="C125" s="25"/>
      <c r="D125" s="55"/>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4.25" customHeight="1">
      <c r="A126" s="25"/>
      <c r="B126" s="25"/>
      <c r="C126" s="25"/>
      <c r="D126" s="55"/>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4.25" customHeight="1">
      <c r="A127" s="25"/>
      <c r="B127" s="25"/>
      <c r="C127" s="25"/>
      <c r="D127" s="55"/>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4.25" customHeight="1">
      <c r="A128" s="25"/>
      <c r="B128" s="25"/>
      <c r="C128" s="25"/>
      <c r="D128" s="55"/>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4.25" customHeight="1">
      <c r="A129" s="25"/>
      <c r="B129" s="25"/>
      <c r="C129" s="25"/>
      <c r="D129" s="55"/>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4.25" customHeight="1">
      <c r="A130" s="25"/>
      <c r="B130" s="25"/>
      <c r="C130" s="25"/>
      <c r="D130" s="55"/>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4.25" customHeight="1">
      <c r="A131" s="25"/>
      <c r="B131" s="25"/>
      <c r="C131" s="25"/>
      <c r="D131" s="55"/>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4.25" customHeight="1">
      <c r="A132" s="25"/>
      <c r="B132" s="25"/>
      <c r="C132" s="25"/>
      <c r="D132" s="55"/>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4.25" customHeight="1">
      <c r="A133" s="25"/>
      <c r="B133" s="25"/>
      <c r="C133" s="25"/>
      <c r="D133" s="55"/>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4.25" customHeight="1">
      <c r="A134" s="25"/>
      <c r="B134" s="25"/>
      <c r="C134" s="25"/>
      <c r="D134" s="55"/>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4.25" customHeight="1">
      <c r="A135" s="25"/>
      <c r="B135" s="25"/>
      <c r="C135" s="25"/>
      <c r="D135" s="55"/>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4.25" customHeight="1">
      <c r="A136" s="25"/>
      <c r="B136" s="25"/>
      <c r="C136" s="25"/>
      <c r="D136" s="55"/>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4.25" customHeight="1">
      <c r="A137" s="25"/>
      <c r="B137" s="25"/>
      <c r="C137" s="25"/>
      <c r="D137" s="55"/>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4.25" customHeight="1">
      <c r="A138" s="25"/>
      <c r="B138" s="25"/>
      <c r="C138" s="25"/>
      <c r="D138" s="55"/>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4.25" customHeight="1">
      <c r="A139" s="25"/>
      <c r="B139" s="25"/>
      <c r="C139" s="25"/>
      <c r="D139" s="55"/>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4.25" customHeight="1">
      <c r="A140" s="25"/>
      <c r="B140" s="25"/>
      <c r="C140" s="25"/>
      <c r="D140" s="55"/>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4.25" customHeight="1">
      <c r="A141" s="25"/>
      <c r="B141" s="25"/>
      <c r="C141" s="25"/>
      <c r="D141" s="55"/>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4.25" customHeight="1">
      <c r="A142" s="25"/>
      <c r="B142" s="25"/>
      <c r="C142" s="25"/>
      <c r="D142" s="55"/>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4.25" customHeight="1">
      <c r="A143" s="25"/>
      <c r="B143" s="25"/>
      <c r="C143" s="25"/>
      <c r="D143" s="55"/>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4.25" customHeight="1">
      <c r="A144" s="25"/>
      <c r="B144" s="25"/>
      <c r="C144" s="25"/>
      <c r="D144" s="55"/>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4.25" customHeight="1">
      <c r="A145" s="25"/>
      <c r="B145" s="25"/>
      <c r="C145" s="25"/>
      <c r="D145" s="55"/>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4.25" customHeight="1">
      <c r="A146" s="25"/>
      <c r="B146" s="25"/>
      <c r="C146" s="25"/>
      <c r="D146" s="55"/>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4.25" customHeight="1">
      <c r="A147" s="25"/>
      <c r="B147" s="25"/>
      <c r="C147" s="25"/>
      <c r="D147" s="55"/>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4.25" customHeight="1">
      <c r="A148" s="25"/>
      <c r="B148" s="25"/>
      <c r="C148" s="25"/>
      <c r="D148" s="55"/>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4.25" customHeight="1">
      <c r="A149" s="25"/>
      <c r="B149" s="25"/>
      <c r="C149" s="25"/>
      <c r="D149" s="55"/>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4.25" customHeight="1">
      <c r="A150" s="25"/>
      <c r="B150" s="25"/>
      <c r="C150" s="25"/>
      <c r="D150" s="55"/>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4.25" customHeight="1">
      <c r="A151" s="25"/>
      <c r="B151" s="25"/>
      <c r="C151" s="25"/>
      <c r="D151" s="55"/>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4.25" customHeight="1">
      <c r="A152" s="25"/>
      <c r="B152" s="25"/>
      <c r="C152" s="25"/>
      <c r="D152" s="55"/>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4.25" customHeight="1">
      <c r="A153" s="25"/>
      <c r="B153" s="25"/>
      <c r="C153" s="25"/>
      <c r="D153" s="55"/>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4.25" customHeight="1">
      <c r="A154" s="25"/>
      <c r="B154" s="25"/>
      <c r="C154" s="25"/>
      <c r="D154" s="55"/>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4.25" customHeight="1">
      <c r="A155" s="25"/>
      <c r="B155" s="25"/>
      <c r="C155" s="25"/>
      <c r="D155" s="55"/>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4.25" customHeight="1">
      <c r="A156" s="25"/>
      <c r="B156" s="25"/>
      <c r="C156" s="25"/>
      <c r="D156" s="55"/>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4.25" customHeight="1">
      <c r="A157" s="25"/>
      <c r="B157" s="25"/>
      <c r="C157" s="25"/>
      <c r="D157" s="55"/>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4.25" customHeight="1">
      <c r="A158" s="25"/>
      <c r="B158" s="25"/>
      <c r="C158" s="25"/>
      <c r="D158" s="55"/>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4.25" customHeight="1">
      <c r="A159" s="25"/>
      <c r="B159" s="25"/>
      <c r="C159" s="25"/>
      <c r="D159" s="55"/>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4.25" customHeight="1">
      <c r="A160" s="25"/>
      <c r="B160" s="25"/>
      <c r="C160" s="25"/>
      <c r="D160" s="55"/>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4.25" customHeight="1">
      <c r="A161" s="25"/>
      <c r="B161" s="25"/>
      <c r="C161" s="25"/>
      <c r="D161" s="55"/>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4.25" customHeight="1">
      <c r="A162" s="25"/>
      <c r="B162" s="25"/>
      <c r="C162" s="25"/>
      <c r="D162" s="55"/>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4.25" customHeight="1">
      <c r="A163" s="25"/>
      <c r="B163" s="25"/>
      <c r="C163" s="25"/>
      <c r="D163" s="55"/>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4.25" customHeight="1">
      <c r="A164" s="25"/>
      <c r="B164" s="25"/>
      <c r="C164" s="25"/>
      <c r="D164" s="55"/>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4.25" customHeight="1">
      <c r="A165" s="25"/>
      <c r="B165" s="25"/>
      <c r="C165" s="25"/>
      <c r="D165" s="55"/>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4.25" customHeight="1">
      <c r="A166" s="25"/>
      <c r="B166" s="25"/>
      <c r="C166" s="25"/>
      <c r="D166" s="55"/>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4.25" customHeight="1">
      <c r="A167" s="25"/>
      <c r="B167" s="25"/>
      <c r="C167" s="25"/>
      <c r="D167" s="55"/>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4.25" customHeight="1">
      <c r="A168" s="25"/>
      <c r="B168" s="25"/>
      <c r="C168" s="25"/>
      <c r="D168" s="55"/>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4.25" customHeight="1">
      <c r="A169" s="25"/>
      <c r="B169" s="25"/>
      <c r="C169" s="25"/>
      <c r="D169" s="55"/>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4.25" customHeight="1">
      <c r="A170" s="25"/>
      <c r="B170" s="25"/>
      <c r="C170" s="25"/>
      <c r="D170" s="55"/>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4.25" customHeight="1">
      <c r="A171" s="25"/>
      <c r="B171" s="25"/>
      <c r="C171" s="25"/>
      <c r="D171" s="55"/>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4.25" customHeight="1">
      <c r="A172" s="25"/>
      <c r="B172" s="25"/>
      <c r="C172" s="25"/>
      <c r="D172" s="55"/>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4.25" customHeight="1">
      <c r="A173" s="25"/>
      <c r="B173" s="25"/>
      <c r="C173" s="25"/>
      <c r="D173" s="55"/>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4.25" customHeight="1">
      <c r="A174" s="25"/>
      <c r="B174" s="25"/>
      <c r="C174" s="25"/>
      <c r="D174" s="55"/>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4.25" customHeight="1">
      <c r="A175" s="25"/>
      <c r="B175" s="25"/>
      <c r="C175" s="25"/>
      <c r="D175" s="55"/>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4.25" customHeight="1">
      <c r="A176" s="25"/>
      <c r="B176" s="25"/>
      <c r="C176" s="25"/>
      <c r="D176" s="55"/>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4.25" customHeight="1">
      <c r="A177" s="25"/>
      <c r="B177" s="25"/>
      <c r="C177" s="25"/>
      <c r="D177" s="55"/>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4.25" customHeight="1">
      <c r="A178" s="25"/>
      <c r="B178" s="25"/>
      <c r="C178" s="25"/>
      <c r="D178" s="55"/>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4.25" customHeight="1">
      <c r="A179" s="25"/>
      <c r="B179" s="25"/>
      <c r="C179" s="25"/>
      <c r="D179" s="55"/>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4.25" customHeight="1">
      <c r="A180" s="25"/>
      <c r="B180" s="25"/>
      <c r="C180" s="25"/>
      <c r="D180" s="55"/>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4.25" customHeight="1">
      <c r="A181" s="25"/>
      <c r="B181" s="25"/>
      <c r="C181" s="25"/>
      <c r="D181" s="55"/>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4.25" customHeight="1">
      <c r="A182" s="25"/>
      <c r="B182" s="25"/>
      <c r="C182" s="25"/>
      <c r="D182" s="55"/>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4.25" customHeight="1">
      <c r="A183" s="25"/>
      <c r="B183" s="25"/>
      <c r="C183" s="25"/>
      <c r="D183" s="55"/>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4.25" customHeight="1">
      <c r="A184" s="25"/>
      <c r="B184" s="25"/>
      <c r="C184" s="25"/>
      <c r="D184" s="55"/>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4.25" customHeight="1">
      <c r="A185" s="25"/>
      <c r="B185" s="25"/>
      <c r="C185" s="25"/>
      <c r="D185" s="55"/>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4.25" customHeight="1">
      <c r="A186" s="25"/>
      <c r="B186" s="25"/>
      <c r="C186" s="25"/>
      <c r="D186" s="55"/>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4.25" customHeight="1">
      <c r="A187" s="25"/>
      <c r="B187" s="25"/>
      <c r="C187" s="25"/>
      <c r="D187" s="55"/>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4.25" customHeight="1">
      <c r="A188" s="25"/>
      <c r="B188" s="25"/>
      <c r="C188" s="25"/>
      <c r="D188" s="55"/>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4.25" customHeight="1">
      <c r="A189" s="25"/>
      <c r="B189" s="25"/>
      <c r="C189" s="25"/>
      <c r="D189" s="55"/>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4.25" customHeight="1">
      <c r="A190" s="25"/>
      <c r="B190" s="25"/>
      <c r="C190" s="25"/>
      <c r="D190" s="55"/>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4.25" customHeight="1">
      <c r="A191" s="25"/>
      <c r="B191" s="25"/>
      <c r="C191" s="25"/>
      <c r="D191" s="55"/>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4.25" customHeight="1">
      <c r="A192" s="25"/>
      <c r="B192" s="25"/>
      <c r="C192" s="25"/>
      <c r="D192" s="55"/>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4.25" customHeight="1">
      <c r="A193" s="25"/>
      <c r="B193" s="25"/>
      <c r="C193" s="25"/>
      <c r="D193" s="55"/>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4.25" customHeight="1">
      <c r="A194" s="25"/>
      <c r="B194" s="25"/>
      <c r="C194" s="25"/>
      <c r="D194" s="55"/>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4.25" customHeight="1">
      <c r="A195" s="25"/>
      <c r="B195" s="25"/>
      <c r="C195" s="25"/>
      <c r="D195" s="55"/>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4.25" customHeight="1">
      <c r="A196" s="25"/>
      <c r="B196" s="25"/>
      <c r="C196" s="25"/>
      <c r="D196" s="55"/>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4.25" customHeight="1">
      <c r="A197" s="25"/>
      <c r="B197" s="25"/>
      <c r="C197" s="25"/>
      <c r="D197" s="55"/>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4.25" customHeight="1">
      <c r="A198" s="25"/>
      <c r="B198" s="25"/>
      <c r="C198" s="25"/>
      <c r="D198" s="55"/>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4.25" customHeight="1">
      <c r="A199" s="25"/>
      <c r="B199" s="25"/>
      <c r="C199" s="25"/>
      <c r="D199" s="55"/>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4.25" customHeight="1">
      <c r="A200" s="25"/>
      <c r="B200" s="25"/>
      <c r="C200" s="25"/>
      <c r="D200" s="55"/>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4.25" customHeight="1">
      <c r="A201" s="25"/>
      <c r="B201" s="25"/>
      <c r="C201" s="25"/>
      <c r="D201" s="55"/>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4.25" customHeight="1">
      <c r="A202" s="25"/>
      <c r="B202" s="25"/>
      <c r="C202" s="25"/>
      <c r="D202" s="55"/>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4.25" customHeight="1">
      <c r="A203" s="25"/>
      <c r="B203" s="25"/>
      <c r="C203" s="25"/>
      <c r="D203" s="55"/>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4.25" customHeight="1">
      <c r="A204" s="25"/>
      <c r="B204" s="25"/>
      <c r="C204" s="25"/>
      <c r="D204" s="55"/>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4.25" customHeight="1">
      <c r="A205" s="25"/>
      <c r="B205" s="25"/>
      <c r="C205" s="25"/>
      <c r="D205" s="55"/>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4.25" customHeight="1">
      <c r="A206" s="25"/>
      <c r="B206" s="25"/>
      <c r="C206" s="25"/>
      <c r="D206" s="55"/>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4.25" customHeight="1">
      <c r="A207" s="25"/>
      <c r="B207" s="25"/>
      <c r="C207" s="25"/>
      <c r="D207" s="55"/>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4.25" customHeight="1">
      <c r="A208" s="25"/>
      <c r="B208" s="25"/>
      <c r="C208" s="25"/>
      <c r="D208" s="55"/>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4.25" customHeight="1">
      <c r="A209" s="25"/>
      <c r="B209" s="25"/>
      <c r="C209" s="25"/>
      <c r="D209" s="55"/>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4.25" customHeight="1">
      <c r="A210" s="25"/>
      <c r="B210" s="25"/>
      <c r="C210" s="25"/>
      <c r="D210" s="55"/>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4.25" customHeight="1">
      <c r="A211" s="25"/>
      <c r="B211" s="25"/>
      <c r="C211" s="25"/>
      <c r="D211" s="55"/>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4.25" customHeight="1">
      <c r="A212" s="25"/>
      <c r="B212" s="25"/>
      <c r="C212" s="25"/>
      <c r="D212" s="55"/>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4.25" customHeight="1">
      <c r="A213" s="25"/>
      <c r="B213" s="25"/>
      <c r="C213" s="25"/>
      <c r="D213" s="55"/>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4.25" customHeight="1">
      <c r="A214" s="25"/>
      <c r="B214" s="25"/>
      <c r="C214" s="25"/>
      <c r="D214" s="55"/>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4.25" customHeight="1">
      <c r="A215" s="25"/>
      <c r="B215" s="25"/>
      <c r="C215" s="25"/>
      <c r="D215" s="55"/>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4.25" customHeight="1">
      <c r="A216" s="25"/>
      <c r="B216" s="25"/>
      <c r="C216" s="25"/>
      <c r="D216" s="55"/>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4.25" customHeight="1">
      <c r="A217" s="25"/>
      <c r="B217" s="25"/>
      <c r="C217" s="25"/>
      <c r="D217" s="55"/>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4.25" customHeight="1">
      <c r="A218" s="25"/>
      <c r="B218" s="25"/>
      <c r="C218" s="25"/>
      <c r="D218" s="55"/>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4.25" customHeight="1">
      <c r="A219" s="25"/>
      <c r="B219" s="25"/>
      <c r="C219" s="25"/>
      <c r="D219" s="55"/>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4.25" customHeight="1">
      <c r="A220" s="25"/>
      <c r="B220" s="25"/>
      <c r="C220" s="25"/>
      <c r="D220" s="55"/>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4.25" customHeight="1"/>
    <row r="224" spans="1:2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L1"/>
    <mergeCell ref="A15:D15"/>
    <mergeCell ref="F17:G17"/>
    <mergeCell ref="B22:B26"/>
    <mergeCell ref="J4:L4"/>
    <mergeCell ref="F21:H21"/>
    <mergeCell ref="J3:L3"/>
    <mergeCell ref="J21:L21"/>
    <mergeCell ref="B16:D16"/>
    <mergeCell ref="F3:G3"/>
    <mergeCell ref="F22:H26"/>
    <mergeCell ref="A2:L2"/>
    <mergeCell ref="F19:H19"/>
    <mergeCell ref="D22:D26"/>
    <mergeCell ref="J22:L26"/>
  </mergeCells>
  <conditionalFormatting sqref="B19 D19 F19">
    <cfRule type="expression" dxfId="39" priority="1">
      <formula>LEN(TRIM(B19))=0</formula>
    </cfRule>
  </conditionalFormatting>
  <conditionalFormatting sqref="B22 D22 F22:G22">
    <cfRule type="expression" dxfId="38" priority="2">
      <formula>LEN(TRIM(B22))=0</formula>
    </cfRule>
  </conditionalFormatting>
  <conditionalFormatting sqref="D3:D5">
    <cfRule type="expression" dxfId="37" priority="3">
      <formula>LEN(TRIM(D3))=0</formula>
    </cfRule>
  </conditionalFormatting>
  <conditionalFormatting sqref="F16">
    <cfRule type="cellIs" dxfId="36" priority="4" operator="lessThan">
      <formula>10</formula>
    </cfRule>
    <cfRule type="cellIs" dxfId="35" priority="5" operator="greaterThanOrEqual">
      <formula>10</formula>
    </cfRule>
  </conditionalFormatting>
  <conditionalFormatting sqref="G7:L14">
    <cfRule type="expression" dxfId="34" priority="6">
      <formula>LEN(TRIM(G7))=0</formula>
    </cfRule>
  </conditionalFormatting>
  <conditionalFormatting sqref="H3">
    <cfRule type="expression" dxfId="33" priority="7">
      <formula>LEN(TRIM(H3))=0</formula>
    </cfRule>
  </conditionalFormatting>
  <conditionalFormatting sqref="J22">
    <cfRule type="expression" dxfId="32" priority="8">
      <formula>LEN(TRIM(J22))=0</formula>
    </cfRule>
  </conditionalFormatting>
  <printOptions horizontalCentered="1"/>
  <pageMargins left="0.31527777777777799" right="0.31527777777777799" top="0.35416666666666702" bottom="0.354166666666667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showGridLines="0" topLeftCell="A16" workbookViewId="0">
      <selection activeCell="H9" sqref="H9"/>
    </sheetView>
  </sheetViews>
  <sheetFormatPr baseColWidth="10" defaultColWidth="12.625" defaultRowHeight="15" customHeight="1"/>
  <cols>
    <col min="1" max="1" width="4.75" customWidth="1"/>
    <col min="2" max="2" width="42.875" customWidth="1"/>
    <col min="3" max="3" width="1.25" customWidth="1"/>
    <col min="4" max="4" width="43.25" customWidth="1"/>
    <col min="5" max="5" width="1.25" customWidth="1"/>
    <col min="6" max="7" width="9.125" customWidth="1"/>
    <col min="8" max="8" width="68.25" customWidth="1"/>
    <col min="9" max="9" width="9.125" customWidth="1"/>
    <col min="10" max="10" width="28.875" customWidth="1"/>
    <col min="11" max="11" width="9.125" customWidth="1"/>
    <col min="12" max="12" width="28.875" customWidth="1"/>
  </cols>
  <sheetData>
    <row r="1" spans="1:27" ht="39" customHeight="1">
      <c r="A1" s="100" t="s">
        <v>40</v>
      </c>
      <c r="B1" s="92"/>
      <c r="C1" s="92"/>
      <c r="D1" s="92"/>
      <c r="E1" s="92"/>
      <c r="F1" s="92"/>
      <c r="G1" s="92"/>
      <c r="H1" s="92"/>
      <c r="I1" s="92"/>
      <c r="J1" s="92"/>
      <c r="K1" s="92"/>
      <c r="L1" s="92"/>
      <c r="M1" s="17"/>
      <c r="N1" s="17"/>
      <c r="O1" s="17"/>
      <c r="P1" s="17"/>
      <c r="Q1" s="17"/>
      <c r="R1" s="17"/>
      <c r="S1" s="17"/>
      <c r="T1" s="17"/>
      <c r="U1" s="17"/>
      <c r="V1" s="17"/>
      <c r="W1" s="17"/>
      <c r="X1" s="17"/>
      <c r="Y1" s="17"/>
      <c r="Z1" s="17"/>
      <c r="AA1" s="17"/>
    </row>
    <row r="2" spans="1:27" ht="63" customHeight="1">
      <c r="A2" s="97"/>
      <c r="B2" s="92"/>
      <c r="C2" s="92"/>
      <c r="D2" s="92"/>
      <c r="E2" s="92"/>
      <c r="F2" s="92"/>
      <c r="G2" s="92"/>
      <c r="H2" s="92"/>
      <c r="I2" s="92"/>
      <c r="J2" s="92"/>
      <c r="K2" s="92"/>
      <c r="L2" s="92"/>
      <c r="M2" s="17"/>
      <c r="N2" s="17"/>
      <c r="O2" s="17"/>
      <c r="P2" s="17"/>
      <c r="Q2" s="17"/>
      <c r="R2" s="17"/>
      <c r="S2" s="17"/>
      <c r="T2" s="17"/>
      <c r="U2" s="17"/>
      <c r="V2" s="17"/>
      <c r="W2" s="17"/>
      <c r="X2" s="17"/>
      <c r="Y2" s="17"/>
      <c r="Z2" s="17"/>
      <c r="AA2" s="17"/>
    </row>
    <row r="3" spans="1:27" ht="14.25" customHeight="1">
      <c r="A3" s="18"/>
      <c r="B3" s="19" t="s">
        <v>42</v>
      </c>
      <c r="C3" s="20"/>
      <c r="D3" s="21" t="str">
        <f>IF('Ordre de passage'!C10="","",'Ordre de passage'!C10)</f>
        <v xml:space="preserve">BENGUEDIH </v>
      </c>
      <c r="E3" s="19"/>
      <c r="F3" s="95" t="s">
        <v>43</v>
      </c>
      <c r="G3" s="92"/>
      <c r="H3" s="22">
        <f>IF('Ordre de passage'!D4="","",'Ordre de passage'!D4)</f>
        <v>46178</v>
      </c>
      <c r="I3" s="1"/>
      <c r="J3" s="105" t="s">
        <v>44</v>
      </c>
      <c r="K3" s="92"/>
      <c r="L3" s="92"/>
      <c r="M3" s="17"/>
      <c r="N3" s="17"/>
      <c r="O3" s="17"/>
      <c r="P3" s="17"/>
      <c r="Q3" s="17"/>
      <c r="R3" s="17"/>
      <c r="S3" s="17"/>
      <c r="T3" s="17"/>
      <c r="U3" s="17"/>
      <c r="V3" s="17"/>
      <c r="W3" s="17"/>
      <c r="X3" s="17"/>
      <c r="Y3" s="17"/>
      <c r="Z3" s="17"/>
      <c r="AA3" s="17"/>
    </row>
    <row r="4" spans="1:27" ht="14.25" customHeight="1">
      <c r="A4" s="18"/>
      <c r="B4" s="19" t="s">
        <v>45</v>
      </c>
      <c r="C4" s="23"/>
      <c r="D4" s="21" t="str">
        <f>IF('Ordre de passage'!D10="","",'Ordre de passage'!D10)</f>
        <v>Kader</v>
      </c>
      <c r="E4" s="18"/>
      <c r="F4" s="18"/>
      <c r="H4" s="24"/>
      <c r="I4" s="24"/>
      <c r="J4" s="103" t="s">
        <v>46</v>
      </c>
      <c r="K4" s="92"/>
      <c r="L4" s="92"/>
      <c r="M4" s="17"/>
      <c r="N4" s="17"/>
      <c r="O4" s="17"/>
      <c r="P4" s="17"/>
      <c r="Q4" s="17"/>
      <c r="R4" s="17"/>
      <c r="S4" s="17"/>
      <c r="T4" s="17"/>
      <c r="U4" s="17"/>
      <c r="V4" s="17"/>
      <c r="W4" s="17"/>
      <c r="X4" s="17"/>
      <c r="Y4" s="17"/>
      <c r="Z4" s="17"/>
      <c r="AA4" s="17"/>
    </row>
    <row r="5" spans="1:27" ht="14.25" customHeight="1">
      <c r="A5" s="25"/>
      <c r="B5" s="19" t="s">
        <v>47</v>
      </c>
      <c r="C5" s="20"/>
      <c r="D5" s="21" t="str">
        <f>IF('Ordre de passage'!B10="","",'Ordre de passage'!B10)</f>
        <v>10:30 - 11:30</v>
      </c>
      <c r="E5" s="26"/>
      <c r="F5" s="26"/>
      <c r="G5" s="26"/>
      <c r="H5" s="26"/>
      <c r="I5" s="1"/>
      <c r="J5" s="17"/>
      <c r="K5" s="17"/>
      <c r="L5" s="17"/>
      <c r="M5" s="17"/>
      <c r="N5" s="17"/>
      <c r="O5" s="17"/>
      <c r="P5" s="17"/>
      <c r="Q5" s="17"/>
      <c r="R5" s="17"/>
      <c r="S5" s="17"/>
      <c r="T5" s="17"/>
      <c r="U5" s="17"/>
      <c r="V5" s="17"/>
      <c r="W5" s="17"/>
      <c r="X5" s="17"/>
      <c r="Y5" s="17"/>
      <c r="Z5" s="17"/>
      <c r="AA5" s="17"/>
    </row>
    <row r="6" spans="1:27" ht="48.75" customHeight="1">
      <c r="A6" s="27"/>
      <c r="B6" s="28" t="s">
        <v>48</v>
      </c>
      <c r="C6" s="28"/>
      <c r="D6" s="28" t="s">
        <v>49</v>
      </c>
      <c r="E6" s="28"/>
      <c r="F6" s="29" t="s">
        <v>50</v>
      </c>
      <c r="G6" s="30" t="s">
        <v>51</v>
      </c>
      <c r="H6" s="30" t="s">
        <v>52</v>
      </c>
      <c r="I6" s="30" t="s">
        <v>53</v>
      </c>
      <c r="J6" s="30" t="s">
        <v>54</v>
      </c>
      <c r="K6" s="30" t="s">
        <v>55</v>
      </c>
      <c r="L6" s="30" t="s">
        <v>56</v>
      </c>
      <c r="M6" s="17"/>
      <c r="N6" s="17"/>
      <c r="O6" s="17"/>
      <c r="P6" s="17"/>
      <c r="Q6" s="17"/>
      <c r="R6" s="17"/>
      <c r="S6" s="17"/>
      <c r="T6" s="17"/>
      <c r="U6" s="17"/>
      <c r="V6" s="17"/>
      <c r="W6" s="17"/>
      <c r="X6" s="17"/>
      <c r="Y6" s="17"/>
      <c r="Z6" s="17"/>
      <c r="AA6" s="17"/>
    </row>
    <row r="7" spans="1:27" ht="60" customHeight="1">
      <c r="A7" s="31" t="s">
        <v>57</v>
      </c>
      <c r="B7" s="32" t="s">
        <v>58</v>
      </c>
      <c r="C7" s="33"/>
      <c r="D7" s="34" t="s">
        <v>59</v>
      </c>
      <c r="E7" s="35"/>
      <c r="F7" s="36">
        <v>2</v>
      </c>
      <c r="G7" s="36">
        <v>1</v>
      </c>
      <c r="H7" s="37" t="s">
        <v>106</v>
      </c>
      <c r="I7" s="36">
        <v>1.5</v>
      </c>
      <c r="J7" s="37" t="s">
        <v>107</v>
      </c>
      <c r="K7" s="36"/>
      <c r="L7" s="37"/>
      <c r="M7" s="17"/>
      <c r="N7" s="17"/>
      <c r="O7" s="17"/>
      <c r="P7" s="17"/>
      <c r="Q7" s="17"/>
      <c r="R7" s="17"/>
      <c r="S7" s="17"/>
      <c r="T7" s="17"/>
      <c r="U7" s="17"/>
      <c r="V7" s="17"/>
      <c r="W7" s="17"/>
      <c r="X7" s="17"/>
      <c r="Y7" s="17"/>
      <c r="Z7" s="17"/>
      <c r="AA7" s="17"/>
    </row>
    <row r="8" spans="1:27" ht="72" customHeight="1">
      <c r="A8" s="31" t="s">
        <v>62</v>
      </c>
      <c r="B8" s="38" t="s">
        <v>63</v>
      </c>
      <c r="C8" s="39"/>
      <c r="D8" s="40" t="s">
        <v>64</v>
      </c>
      <c r="E8" s="35"/>
      <c r="F8" s="36">
        <v>2</v>
      </c>
      <c r="G8" s="36">
        <v>1.5</v>
      </c>
      <c r="H8" s="37" t="s">
        <v>108</v>
      </c>
      <c r="I8" s="36">
        <v>1.5</v>
      </c>
      <c r="J8" s="37" t="s">
        <v>109</v>
      </c>
      <c r="K8" s="36"/>
      <c r="L8" s="37"/>
      <c r="M8" s="17"/>
      <c r="N8" s="17"/>
      <c r="O8" s="17"/>
      <c r="P8" s="17"/>
      <c r="Q8" s="17"/>
      <c r="R8" s="17"/>
      <c r="S8" s="17"/>
      <c r="T8" s="17"/>
      <c r="U8" s="17"/>
      <c r="V8" s="17"/>
      <c r="W8" s="17"/>
      <c r="X8" s="17"/>
      <c r="Y8" s="17"/>
      <c r="Z8" s="17"/>
      <c r="AA8" s="17"/>
    </row>
    <row r="9" spans="1:27" ht="73.5" customHeight="1">
      <c r="A9" s="31" t="s">
        <v>67</v>
      </c>
      <c r="B9" s="38" t="s">
        <v>68</v>
      </c>
      <c r="C9" s="39"/>
      <c r="D9" s="40" t="s">
        <v>69</v>
      </c>
      <c r="E9" s="35"/>
      <c r="F9" s="36">
        <v>2</v>
      </c>
      <c r="G9" s="36">
        <v>1</v>
      </c>
      <c r="H9" s="37" t="s">
        <v>110</v>
      </c>
      <c r="I9" s="36">
        <v>1</v>
      </c>
      <c r="J9" s="37" t="s">
        <v>111</v>
      </c>
      <c r="K9" s="36"/>
      <c r="L9" s="37"/>
      <c r="M9" s="17"/>
      <c r="N9" s="17"/>
      <c r="O9" s="17"/>
      <c r="P9" s="17"/>
      <c r="Q9" s="17"/>
      <c r="R9" s="17"/>
      <c r="S9" s="17"/>
      <c r="T9" s="17"/>
      <c r="U9" s="17"/>
      <c r="V9" s="17"/>
      <c r="W9" s="17"/>
      <c r="X9" s="17"/>
      <c r="Y9" s="17"/>
      <c r="Z9" s="17"/>
      <c r="AA9" s="17"/>
    </row>
    <row r="10" spans="1:27" ht="71.25" customHeight="1">
      <c r="A10" s="31" t="s">
        <v>72</v>
      </c>
      <c r="B10" s="38" t="s">
        <v>73</v>
      </c>
      <c r="C10" s="39"/>
      <c r="D10" s="40" t="s">
        <v>74</v>
      </c>
      <c r="E10" s="35"/>
      <c r="F10" s="36">
        <v>2</v>
      </c>
      <c r="G10" s="36">
        <v>1</v>
      </c>
      <c r="H10" s="37" t="s">
        <v>112</v>
      </c>
      <c r="I10" s="36">
        <v>1.5</v>
      </c>
      <c r="J10" s="37" t="s">
        <v>113</v>
      </c>
      <c r="K10" s="36"/>
      <c r="L10" s="37"/>
      <c r="M10" s="17"/>
      <c r="N10" s="17"/>
      <c r="O10" s="17"/>
      <c r="P10" s="17"/>
      <c r="Q10" s="17"/>
      <c r="R10" s="17"/>
      <c r="S10" s="17"/>
      <c r="T10" s="17"/>
      <c r="U10" s="17"/>
      <c r="V10" s="17"/>
      <c r="W10" s="17"/>
      <c r="X10" s="17"/>
      <c r="Y10" s="17"/>
      <c r="Z10" s="17"/>
      <c r="AA10" s="17"/>
    </row>
    <row r="11" spans="1:27" ht="72" customHeight="1">
      <c r="A11" s="31" t="s">
        <v>77</v>
      </c>
      <c r="B11" s="38" t="s">
        <v>78</v>
      </c>
      <c r="C11" s="39"/>
      <c r="D11" s="40" t="s">
        <v>79</v>
      </c>
      <c r="E11" s="35"/>
      <c r="F11" s="36">
        <v>2</v>
      </c>
      <c r="G11" s="36">
        <v>1.5</v>
      </c>
      <c r="H11" s="37" t="s">
        <v>114</v>
      </c>
      <c r="I11" s="36">
        <v>1.5</v>
      </c>
      <c r="J11" s="37" t="s">
        <v>115</v>
      </c>
      <c r="K11" s="36"/>
      <c r="L11" s="37"/>
      <c r="M11" s="17"/>
      <c r="N11" s="17"/>
      <c r="O11" s="17"/>
      <c r="P11" s="17"/>
      <c r="Q11" s="17"/>
      <c r="R11" s="17"/>
      <c r="S11" s="17"/>
      <c r="T11" s="17"/>
      <c r="U11" s="17"/>
      <c r="V11" s="17"/>
      <c r="W11" s="17"/>
      <c r="X11" s="17"/>
      <c r="Y11" s="17"/>
      <c r="Z11" s="17"/>
      <c r="AA11" s="17"/>
    </row>
    <row r="12" spans="1:27" ht="82.5" customHeight="1">
      <c r="A12" s="41" t="s">
        <v>82</v>
      </c>
      <c r="B12" s="38" t="s">
        <v>83</v>
      </c>
      <c r="C12" s="39"/>
      <c r="D12" s="40" t="s">
        <v>84</v>
      </c>
      <c r="E12" s="35"/>
      <c r="F12" s="36">
        <v>2</v>
      </c>
      <c r="G12" s="36">
        <v>1.5</v>
      </c>
      <c r="H12" s="37" t="s">
        <v>116</v>
      </c>
      <c r="I12" s="36">
        <v>1</v>
      </c>
      <c r="J12" s="37" t="s">
        <v>117</v>
      </c>
      <c r="K12" s="36"/>
      <c r="L12" s="37"/>
      <c r="M12" s="17"/>
      <c r="N12" s="17"/>
      <c r="O12" s="17"/>
      <c r="P12" s="17"/>
      <c r="Q12" s="17"/>
      <c r="R12" s="17"/>
      <c r="S12" s="17"/>
      <c r="T12" s="17"/>
      <c r="U12" s="17"/>
      <c r="V12" s="17"/>
      <c r="W12" s="17"/>
      <c r="X12" s="17"/>
      <c r="Y12" s="17"/>
      <c r="Z12" s="17"/>
      <c r="AA12" s="17"/>
    </row>
    <row r="13" spans="1:27" ht="83.25" customHeight="1">
      <c r="A13" s="42" t="s">
        <v>87</v>
      </c>
      <c r="B13" s="38" t="s">
        <v>88</v>
      </c>
      <c r="C13" s="39"/>
      <c r="D13" s="40" t="s">
        <v>89</v>
      </c>
      <c r="E13" s="43"/>
      <c r="F13" s="36">
        <v>5</v>
      </c>
      <c r="G13" s="36">
        <v>3</v>
      </c>
      <c r="H13" s="37" t="s">
        <v>118</v>
      </c>
      <c r="I13" s="36">
        <v>3</v>
      </c>
      <c r="J13" s="37" t="s">
        <v>119</v>
      </c>
      <c r="K13" s="36"/>
      <c r="L13" s="37"/>
      <c r="M13" s="17"/>
      <c r="N13" s="17"/>
      <c r="O13" s="17"/>
      <c r="P13" s="17"/>
      <c r="Q13" s="17"/>
      <c r="R13" s="17"/>
      <c r="S13" s="17"/>
      <c r="T13" s="17"/>
      <c r="U13" s="17"/>
      <c r="V13" s="17"/>
      <c r="W13" s="17"/>
      <c r="X13" s="17"/>
      <c r="Y13" s="17"/>
      <c r="Z13" s="17"/>
      <c r="AA13" s="17"/>
    </row>
    <row r="14" spans="1:27" ht="39.75" customHeight="1">
      <c r="A14" s="42" t="s">
        <v>92</v>
      </c>
      <c r="B14" s="38" t="s">
        <v>93</v>
      </c>
      <c r="C14" s="39"/>
      <c r="D14" s="40" t="s">
        <v>94</v>
      </c>
      <c r="E14" s="43"/>
      <c r="F14" s="36">
        <v>3</v>
      </c>
      <c r="G14" s="36">
        <v>3</v>
      </c>
      <c r="H14" s="37" t="s">
        <v>120</v>
      </c>
      <c r="I14" s="36">
        <v>3</v>
      </c>
      <c r="J14" s="37" t="s">
        <v>121</v>
      </c>
      <c r="K14" s="36"/>
      <c r="L14" s="37"/>
      <c r="M14" s="17"/>
      <c r="N14" s="17"/>
      <c r="O14" s="17"/>
      <c r="P14" s="17"/>
      <c r="Q14" s="17"/>
      <c r="R14" s="17"/>
      <c r="S14" s="17"/>
      <c r="T14" s="17"/>
      <c r="U14" s="17"/>
      <c r="V14" s="17"/>
      <c r="W14" s="17"/>
      <c r="X14" s="17"/>
      <c r="Y14" s="17"/>
      <c r="Z14" s="17"/>
      <c r="AA14" s="17"/>
    </row>
    <row r="15" spans="1:27" ht="27.75" customHeight="1">
      <c r="A15" s="101" t="s">
        <v>97</v>
      </c>
      <c r="B15" s="92"/>
      <c r="C15" s="92"/>
      <c r="D15" s="92"/>
      <c r="E15" s="44"/>
      <c r="F15" s="45">
        <f>SUM(F7:F14)</f>
        <v>20</v>
      </c>
      <c r="G15" s="46">
        <f>SUM(G7:G14)</f>
        <v>13.5</v>
      </c>
      <c r="H15" s="17"/>
      <c r="I15" s="46">
        <f>SUM(I7:I14)</f>
        <v>14</v>
      </c>
      <c r="J15" s="17"/>
      <c r="K15" s="46">
        <f>SUM(K7:K14)</f>
        <v>0</v>
      </c>
      <c r="L15" s="17"/>
      <c r="M15" s="17"/>
      <c r="N15" s="17"/>
      <c r="O15" s="17"/>
      <c r="P15" s="17"/>
      <c r="Q15" s="17"/>
      <c r="R15" s="17"/>
      <c r="S15" s="17"/>
      <c r="T15" s="17"/>
      <c r="U15" s="17"/>
      <c r="V15" s="17"/>
      <c r="W15" s="17"/>
      <c r="X15" s="17"/>
      <c r="Y15" s="17"/>
      <c r="Z15" s="17"/>
      <c r="AA15" s="17"/>
    </row>
    <row r="16" spans="1:27" ht="34.5" customHeight="1">
      <c r="A16" s="25"/>
      <c r="B16" s="98" t="s">
        <v>98</v>
      </c>
      <c r="C16" s="92"/>
      <c r="D16" s="92"/>
      <c r="E16" s="47"/>
      <c r="F16" s="48">
        <f>(G15+I15+K15)/2</f>
        <v>13.75</v>
      </c>
      <c r="G16" s="49"/>
      <c r="H16" s="49"/>
      <c r="I16" s="17"/>
      <c r="J16" s="17"/>
      <c r="K16" s="17"/>
      <c r="L16" s="17"/>
      <c r="M16" s="17"/>
      <c r="N16" s="17"/>
      <c r="O16" s="17"/>
      <c r="P16" s="17"/>
      <c r="Q16" s="17"/>
      <c r="R16" s="17"/>
      <c r="S16" s="17"/>
      <c r="T16" s="17"/>
      <c r="U16" s="17"/>
      <c r="V16" s="17"/>
      <c r="W16" s="17"/>
      <c r="X16" s="17"/>
      <c r="Y16" s="17"/>
      <c r="Z16" s="17"/>
      <c r="AA16" s="17"/>
    </row>
    <row r="17" spans="1:27" ht="24.75" customHeight="1">
      <c r="A17" s="25"/>
      <c r="C17" s="50"/>
      <c r="D17" s="50"/>
      <c r="E17" s="51"/>
      <c r="F17" s="102" t="s">
        <v>99</v>
      </c>
      <c r="G17" s="92"/>
      <c r="H17" s="49"/>
      <c r="I17" s="17"/>
      <c r="J17" s="17"/>
      <c r="K17" s="17"/>
      <c r="L17" s="17"/>
      <c r="M17" s="17"/>
      <c r="N17" s="17"/>
      <c r="O17" s="17"/>
      <c r="P17" s="17"/>
      <c r="Q17" s="17"/>
      <c r="R17" s="17"/>
      <c r="S17" s="17"/>
      <c r="T17" s="17"/>
      <c r="U17" s="17"/>
      <c r="V17" s="17"/>
      <c r="W17" s="17"/>
      <c r="X17" s="17"/>
      <c r="Y17" s="17"/>
      <c r="Z17" s="17"/>
      <c r="AA17" s="17"/>
    </row>
    <row r="18" spans="1:27" ht="27.75" customHeight="1">
      <c r="A18" s="25"/>
      <c r="B18" s="50" t="s">
        <v>1</v>
      </c>
      <c r="C18" s="50"/>
      <c r="G18" s="52"/>
      <c r="H18" s="52"/>
      <c r="I18" s="17"/>
      <c r="J18" s="17"/>
      <c r="K18" s="17"/>
      <c r="L18" s="17"/>
      <c r="M18" s="17"/>
      <c r="N18" s="17"/>
      <c r="O18" s="17"/>
      <c r="P18" s="17"/>
      <c r="Q18" s="17"/>
      <c r="R18" s="17"/>
      <c r="S18" s="17"/>
      <c r="T18" s="17"/>
      <c r="U18" s="17"/>
      <c r="V18" s="17"/>
      <c r="W18" s="17"/>
      <c r="X18" s="17"/>
      <c r="Y18" s="17"/>
      <c r="Z18" s="17"/>
      <c r="AA18" s="17"/>
    </row>
    <row r="19" spans="1:27" ht="27.75" customHeight="1">
      <c r="A19" s="25"/>
      <c r="B19" s="21" t="str">
        <f>'Ordre de passage'!F3</f>
        <v>Tom FOURNAISE</v>
      </c>
      <c r="D19" s="21" t="str">
        <f>'Ordre de passage'!G3</f>
        <v>Djody BENCHADI</v>
      </c>
      <c r="E19" s="21"/>
      <c r="F19" s="98">
        <f>'Ordre de passage'!H3</f>
        <v>0</v>
      </c>
      <c r="G19" s="92"/>
      <c r="H19" s="92"/>
      <c r="I19" s="17"/>
      <c r="J19" s="17"/>
      <c r="K19" s="17"/>
      <c r="L19" s="17"/>
      <c r="M19" s="17"/>
      <c r="N19" s="17"/>
      <c r="O19" s="17"/>
      <c r="P19" s="17"/>
      <c r="Q19" s="17"/>
      <c r="R19" s="17"/>
      <c r="S19" s="17"/>
      <c r="T19" s="17"/>
      <c r="U19" s="17"/>
      <c r="V19" s="17"/>
      <c r="W19" s="17"/>
      <c r="X19" s="17"/>
      <c r="Y19" s="17"/>
      <c r="Z19" s="17"/>
      <c r="AA19" s="17"/>
    </row>
    <row r="20" spans="1:27" ht="8.25" customHeight="1">
      <c r="A20" s="25"/>
      <c r="E20" s="53"/>
      <c r="F20" s="53"/>
      <c r="G20" s="53"/>
      <c r="H20" s="53"/>
      <c r="I20" s="17"/>
      <c r="J20" s="17"/>
      <c r="K20" s="17"/>
      <c r="L20" s="17"/>
      <c r="M20" s="17"/>
      <c r="N20" s="17"/>
      <c r="O20" s="17"/>
      <c r="P20" s="17"/>
      <c r="Q20" s="17"/>
      <c r="R20" s="17"/>
      <c r="S20" s="17"/>
      <c r="T20" s="17"/>
      <c r="U20" s="17"/>
      <c r="V20" s="17"/>
      <c r="W20" s="17"/>
      <c r="X20" s="17"/>
      <c r="Y20" s="17"/>
      <c r="Z20" s="17"/>
      <c r="AA20" s="17"/>
    </row>
    <row r="21" spans="1:27" ht="25.5" customHeight="1">
      <c r="A21" s="25"/>
      <c r="B21" s="54" t="s">
        <v>100</v>
      </c>
      <c r="C21" s="55"/>
      <c r="D21" s="54" t="s">
        <v>101</v>
      </c>
      <c r="E21" s="54"/>
      <c r="F21" s="104" t="s">
        <v>102</v>
      </c>
      <c r="G21" s="92"/>
      <c r="H21" s="92"/>
      <c r="I21" s="17"/>
      <c r="J21" s="104" t="s">
        <v>103</v>
      </c>
      <c r="K21" s="92"/>
      <c r="L21" s="92"/>
      <c r="M21" s="17"/>
      <c r="N21" s="17"/>
      <c r="O21" s="17"/>
      <c r="P21" s="17"/>
      <c r="Q21" s="17"/>
      <c r="R21" s="17"/>
      <c r="S21" s="17"/>
      <c r="T21" s="17"/>
      <c r="U21" s="17"/>
      <c r="V21" s="17"/>
      <c r="W21" s="17"/>
      <c r="X21" s="17"/>
      <c r="Y21" s="17"/>
      <c r="Z21" s="17"/>
      <c r="AA21" s="17"/>
    </row>
    <row r="22" spans="1:27" ht="25.5" customHeight="1">
      <c r="A22" s="25"/>
      <c r="B22" s="96" t="s">
        <v>122</v>
      </c>
      <c r="C22" s="50"/>
      <c r="D22" s="96" t="s">
        <v>123</v>
      </c>
      <c r="E22" s="50"/>
      <c r="F22" s="96"/>
      <c r="G22" s="92"/>
      <c r="H22" s="92"/>
      <c r="I22" s="17"/>
      <c r="J22" s="99">
        <f>IF('Ordre de passage'!D4="","",'Ordre de passage'!D4)</f>
        <v>46178</v>
      </c>
      <c r="K22" s="92"/>
      <c r="L22" s="92"/>
      <c r="M22" s="17"/>
      <c r="N22" s="17"/>
      <c r="O22" s="17"/>
      <c r="P22" s="17"/>
      <c r="Q22" s="17"/>
      <c r="R22" s="17"/>
      <c r="S22" s="17"/>
      <c r="T22" s="17"/>
      <c r="U22" s="17"/>
      <c r="V22" s="17"/>
      <c r="W22" s="17"/>
      <c r="X22" s="17"/>
      <c r="Y22" s="17"/>
      <c r="Z22" s="17"/>
      <c r="AA22" s="17"/>
    </row>
    <row r="23" spans="1:27" ht="14.25" customHeight="1">
      <c r="A23" s="25"/>
      <c r="B23" s="92"/>
      <c r="C23" s="55"/>
      <c r="D23" s="92"/>
      <c r="E23" s="53"/>
      <c r="F23" s="92"/>
      <c r="G23" s="92"/>
      <c r="H23" s="92"/>
      <c r="I23" s="17"/>
      <c r="J23" s="92"/>
      <c r="K23" s="92"/>
      <c r="L23" s="92"/>
      <c r="M23" s="17"/>
      <c r="N23" s="17"/>
      <c r="O23" s="17"/>
      <c r="P23" s="17"/>
      <c r="Q23" s="17"/>
      <c r="R23" s="17"/>
      <c r="S23" s="17"/>
      <c r="T23" s="17"/>
      <c r="U23" s="17"/>
      <c r="V23" s="17"/>
      <c r="W23" s="17"/>
      <c r="X23" s="17"/>
      <c r="Y23" s="17"/>
      <c r="Z23" s="17"/>
      <c r="AA23" s="17"/>
    </row>
    <row r="24" spans="1:27" ht="14.25" customHeight="1">
      <c r="A24" s="25"/>
      <c r="B24" s="92"/>
      <c r="C24" s="25"/>
      <c r="D24" s="92"/>
      <c r="E24" s="53"/>
      <c r="F24" s="92"/>
      <c r="G24" s="92"/>
      <c r="H24" s="92"/>
      <c r="I24" s="17"/>
      <c r="J24" s="92"/>
      <c r="K24" s="92"/>
      <c r="L24" s="92"/>
      <c r="M24" s="17"/>
      <c r="N24" s="17"/>
      <c r="O24" s="17"/>
      <c r="P24" s="17"/>
      <c r="Q24" s="17"/>
      <c r="R24" s="17"/>
      <c r="S24" s="17"/>
      <c r="T24" s="17"/>
      <c r="U24" s="17"/>
      <c r="V24" s="17"/>
      <c r="W24" s="17"/>
      <c r="X24" s="17"/>
      <c r="Y24" s="17"/>
      <c r="Z24" s="17"/>
      <c r="AA24" s="17"/>
    </row>
    <row r="25" spans="1:27" ht="14.25" customHeight="1">
      <c r="A25" s="25"/>
      <c r="B25" s="92"/>
      <c r="C25" s="25"/>
      <c r="D25" s="92"/>
      <c r="E25" s="53"/>
      <c r="F25" s="92"/>
      <c r="G25" s="92"/>
      <c r="H25" s="92"/>
      <c r="I25" s="17"/>
      <c r="J25" s="92"/>
      <c r="K25" s="92"/>
      <c r="L25" s="92"/>
      <c r="M25" s="17"/>
      <c r="N25" s="17"/>
      <c r="O25" s="17"/>
      <c r="P25" s="17"/>
      <c r="Q25" s="17"/>
      <c r="R25" s="17"/>
      <c r="S25" s="17"/>
      <c r="T25" s="17"/>
      <c r="U25" s="17"/>
      <c r="V25" s="17"/>
      <c r="W25" s="17"/>
      <c r="X25" s="17"/>
      <c r="Y25" s="17"/>
      <c r="Z25" s="17"/>
      <c r="AA25" s="17"/>
    </row>
    <row r="26" spans="1:27" ht="14.25" customHeight="1">
      <c r="A26" s="25"/>
      <c r="B26" s="92"/>
      <c r="C26" s="25"/>
      <c r="D26" s="92"/>
      <c r="E26" s="53"/>
      <c r="F26" s="92"/>
      <c r="G26" s="92"/>
      <c r="H26" s="92"/>
      <c r="I26" s="17"/>
      <c r="J26" s="92"/>
      <c r="K26" s="92"/>
      <c r="L26" s="92"/>
      <c r="M26" s="17"/>
      <c r="N26" s="17"/>
      <c r="O26" s="17"/>
      <c r="P26" s="17"/>
      <c r="Q26" s="17"/>
      <c r="R26" s="17"/>
      <c r="S26" s="17"/>
      <c r="T26" s="17"/>
      <c r="U26" s="17"/>
      <c r="V26" s="17"/>
      <c r="W26" s="17"/>
      <c r="X26" s="17"/>
      <c r="Y26" s="17"/>
      <c r="Z26" s="17"/>
      <c r="AA26" s="17"/>
    </row>
    <row r="27" spans="1:27" ht="14.25" customHeight="1">
      <c r="A27" s="25"/>
      <c r="B27" s="25"/>
      <c r="C27" s="25"/>
      <c r="D27" s="55"/>
      <c r="E27" s="17"/>
      <c r="F27" s="17"/>
      <c r="G27" s="17"/>
      <c r="H27" s="17"/>
      <c r="I27" s="17"/>
      <c r="J27" s="17"/>
      <c r="K27" s="17"/>
      <c r="L27" s="17"/>
      <c r="M27" s="17"/>
      <c r="N27" s="17"/>
      <c r="O27" s="17"/>
      <c r="P27" s="17"/>
      <c r="Q27" s="17"/>
      <c r="R27" s="17"/>
      <c r="S27" s="17"/>
      <c r="T27" s="17"/>
      <c r="U27" s="17"/>
      <c r="V27" s="17"/>
      <c r="W27" s="17"/>
      <c r="X27" s="17"/>
      <c r="Y27" s="17"/>
      <c r="Z27" s="17"/>
      <c r="AA27" s="17"/>
    </row>
    <row r="28" spans="1:27" ht="14.25" customHeight="1">
      <c r="A28" s="25"/>
      <c r="B28" s="25"/>
      <c r="C28" s="25"/>
      <c r="D28" s="55"/>
      <c r="E28" s="17"/>
      <c r="F28" s="17"/>
      <c r="G28" s="17"/>
      <c r="H28" s="17"/>
      <c r="I28" s="17"/>
      <c r="J28" s="17"/>
      <c r="K28" s="17"/>
      <c r="L28" s="17"/>
      <c r="M28" s="17"/>
      <c r="N28" s="17"/>
      <c r="O28" s="17"/>
      <c r="P28" s="17"/>
      <c r="Q28" s="17"/>
      <c r="R28" s="17"/>
      <c r="S28" s="17"/>
      <c r="T28" s="17"/>
      <c r="U28" s="17"/>
      <c r="V28" s="17"/>
      <c r="W28" s="17"/>
      <c r="X28" s="17"/>
      <c r="Y28" s="17"/>
      <c r="Z28" s="17"/>
      <c r="AA28" s="17"/>
    </row>
    <row r="29" spans="1:27" ht="14.25" customHeight="1">
      <c r="A29" s="25"/>
      <c r="B29" s="25"/>
      <c r="C29" s="25"/>
      <c r="D29" s="55"/>
      <c r="E29" s="17"/>
      <c r="F29" s="17"/>
      <c r="G29" s="17"/>
      <c r="H29" s="17"/>
      <c r="I29" s="17"/>
      <c r="J29" s="17"/>
      <c r="K29" s="17"/>
      <c r="L29" s="17"/>
      <c r="M29" s="17"/>
      <c r="N29" s="17"/>
      <c r="O29" s="17"/>
      <c r="P29" s="17"/>
      <c r="Q29" s="17"/>
      <c r="R29" s="17"/>
      <c r="S29" s="17"/>
      <c r="T29" s="17"/>
      <c r="U29" s="17"/>
      <c r="V29" s="17"/>
      <c r="W29" s="17"/>
      <c r="X29" s="17"/>
      <c r="Y29" s="17"/>
      <c r="Z29" s="17"/>
      <c r="AA29" s="17"/>
    </row>
    <row r="30" spans="1:27" ht="14.25" customHeight="1">
      <c r="A30" s="25"/>
      <c r="B30" s="25"/>
      <c r="C30" s="25"/>
      <c r="D30" s="55"/>
      <c r="E30" s="17"/>
      <c r="F30" s="17"/>
      <c r="G30" s="17"/>
      <c r="H30" s="17"/>
      <c r="I30" s="17"/>
      <c r="J30" s="17"/>
      <c r="K30" s="17"/>
      <c r="L30" s="17"/>
      <c r="M30" s="17"/>
      <c r="N30" s="17"/>
      <c r="O30" s="17"/>
      <c r="P30" s="17"/>
      <c r="Q30" s="17"/>
      <c r="R30" s="17"/>
      <c r="S30" s="17"/>
      <c r="T30" s="17"/>
      <c r="U30" s="17"/>
      <c r="V30" s="17"/>
      <c r="W30" s="17"/>
      <c r="X30" s="17"/>
      <c r="Y30" s="17"/>
      <c r="Z30" s="17"/>
      <c r="AA30" s="17"/>
    </row>
    <row r="31" spans="1:27" ht="14.25" customHeight="1">
      <c r="A31" s="25"/>
      <c r="B31" s="25"/>
      <c r="C31" s="25"/>
      <c r="D31" s="55"/>
      <c r="E31" s="17"/>
      <c r="F31" s="17"/>
      <c r="G31" s="17"/>
      <c r="H31" s="17"/>
      <c r="I31" s="17"/>
      <c r="J31" s="17"/>
      <c r="K31" s="17"/>
      <c r="L31" s="17"/>
      <c r="M31" s="17"/>
      <c r="N31" s="17"/>
      <c r="O31" s="17"/>
      <c r="P31" s="17"/>
      <c r="Q31" s="17"/>
      <c r="R31" s="17"/>
      <c r="S31" s="17"/>
      <c r="T31" s="17"/>
      <c r="U31" s="17"/>
      <c r="V31" s="17"/>
      <c r="W31" s="17"/>
      <c r="X31" s="17"/>
      <c r="Y31" s="17"/>
      <c r="Z31" s="17"/>
      <c r="AA31" s="17"/>
    </row>
    <row r="32" spans="1:27" ht="14.25" customHeight="1">
      <c r="A32" s="25"/>
      <c r="B32" s="25"/>
      <c r="C32" s="25"/>
      <c r="D32" s="55"/>
      <c r="E32" s="17"/>
      <c r="F32" s="17"/>
      <c r="G32" s="17"/>
      <c r="H32" s="17"/>
      <c r="I32" s="17"/>
      <c r="J32" s="17"/>
      <c r="K32" s="17"/>
      <c r="L32" s="17"/>
      <c r="M32" s="17"/>
      <c r="N32" s="17"/>
      <c r="O32" s="17"/>
      <c r="P32" s="17"/>
      <c r="Q32" s="17"/>
      <c r="R32" s="17"/>
      <c r="S32" s="17"/>
      <c r="T32" s="17"/>
      <c r="U32" s="17"/>
      <c r="V32" s="17"/>
      <c r="W32" s="17"/>
      <c r="X32" s="17"/>
      <c r="Y32" s="17"/>
      <c r="Z32" s="17"/>
      <c r="AA32" s="17"/>
    </row>
    <row r="33" spans="1:27" ht="14.25" customHeight="1">
      <c r="A33" s="25"/>
      <c r="B33" s="25"/>
      <c r="C33" s="25"/>
      <c r="D33" s="55"/>
      <c r="E33" s="17"/>
      <c r="F33" s="17"/>
      <c r="G33" s="17"/>
      <c r="H33" s="17"/>
      <c r="I33" s="17"/>
      <c r="J33" s="17"/>
      <c r="K33" s="17"/>
      <c r="L33" s="17"/>
      <c r="M33" s="17"/>
      <c r="N33" s="17"/>
      <c r="O33" s="17"/>
      <c r="P33" s="17"/>
      <c r="Q33" s="17"/>
      <c r="R33" s="17"/>
      <c r="S33" s="17"/>
      <c r="T33" s="17"/>
      <c r="U33" s="17"/>
      <c r="V33" s="17"/>
      <c r="W33" s="17"/>
      <c r="X33" s="17"/>
      <c r="Y33" s="17"/>
      <c r="Z33" s="17"/>
      <c r="AA33" s="17"/>
    </row>
    <row r="34" spans="1:27" ht="14.25" customHeight="1">
      <c r="A34" s="25"/>
      <c r="B34" s="25"/>
      <c r="C34" s="25"/>
      <c r="D34" s="55"/>
      <c r="E34" s="17"/>
      <c r="F34" s="17"/>
      <c r="G34" s="17"/>
      <c r="H34" s="17"/>
      <c r="I34" s="17"/>
      <c r="J34" s="17"/>
      <c r="K34" s="17"/>
      <c r="L34" s="17"/>
      <c r="M34" s="17"/>
      <c r="N34" s="17"/>
      <c r="O34" s="17"/>
      <c r="P34" s="17"/>
      <c r="Q34" s="17"/>
      <c r="R34" s="17"/>
      <c r="S34" s="17"/>
      <c r="T34" s="17"/>
      <c r="U34" s="17"/>
      <c r="V34" s="17"/>
      <c r="W34" s="17"/>
      <c r="X34" s="17"/>
      <c r="Y34" s="17"/>
      <c r="Z34" s="17"/>
      <c r="AA34" s="17"/>
    </row>
    <row r="35" spans="1:27" ht="14.25" customHeight="1">
      <c r="A35" s="25"/>
      <c r="B35" s="25"/>
      <c r="C35" s="25"/>
      <c r="D35" s="55"/>
      <c r="E35" s="17"/>
      <c r="F35" s="17"/>
      <c r="G35" s="17"/>
      <c r="H35" s="17"/>
      <c r="I35" s="17"/>
      <c r="J35" s="17"/>
      <c r="K35" s="17"/>
      <c r="L35" s="17"/>
      <c r="M35" s="17"/>
      <c r="N35" s="17"/>
      <c r="O35" s="17"/>
      <c r="P35" s="17"/>
      <c r="Q35" s="17"/>
      <c r="R35" s="17"/>
      <c r="S35" s="17"/>
      <c r="T35" s="17"/>
      <c r="U35" s="17"/>
      <c r="V35" s="17"/>
      <c r="W35" s="17"/>
      <c r="X35" s="17"/>
      <c r="Y35" s="17"/>
      <c r="Z35" s="17"/>
      <c r="AA35" s="17"/>
    </row>
    <row r="36" spans="1:27" ht="14.25" customHeight="1">
      <c r="A36" s="25"/>
      <c r="B36" s="25"/>
      <c r="C36" s="25"/>
      <c r="D36" s="55"/>
      <c r="E36" s="17"/>
      <c r="F36" s="17"/>
      <c r="G36" s="17"/>
      <c r="H36" s="17"/>
      <c r="I36" s="17"/>
      <c r="J36" s="17"/>
      <c r="K36" s="17"/>
      <c r="L36" s="17"/>
      <c r="M36" s="17"/>
      <c r="N36" s="17"/>
      <c r="O36" s="17"/>
      <c r="P36" s="17"/>
      <c r="Q36" s="17"/>
      <c r="R36" s="17"/>
      <c r="S36" s="17"/>
      <c r="T36" s="17"/>
      <c r="U36" s="17"/>
      <c r="V36" s="17"/>
      <c r="W36" s="17"/>
      <c r="X36" s="17"/>
      <c r="Y36" s="17"/>
      <c r="Z36" s="17"/>
      <c r="AA36" s="17"/>
    </row>
    <row r="37" spans="1:27" ht="14.25" customHeight="1">
      <c r="A37" s="25"/>
      <c r="B37" s="25"/>
      <c r="C37" s="25"/>
      <c r="D37" s="55"/>
      <c r="E37" s="17"/>
      <c r="F37" s="17"/>
      <c r="G37" s="17"/>
      <c r="H37" s="17"/>
      <c r="I37" s="17"/>
      <c r="J37" s="17"/>
      <c r="K37" s="17"/>
      <c r="L37" s="17"/>
      <c r="M37" s="17"/>
      <c r="N37" s="17"/>
      <c r="O37" s="17"/>
      <c r="P37" s="17"/>
      <c r="Q37" s="17"/>
      <c r="R37" s="17"/>
      <c r="S37" s="17"/>
      <c r="T37" s="17"/>
      <c r="U37" s="17"/>
      <c r="V37" s="17"/>
      <c r="W37" s="17"/>
      <c r="X37" s="17"/>
      <c r="Y37" s="17"/>
      <c r="Z37" s="17"/>
      <c r="AA37" s="17"/>
    </row>
    <row r="38" spans="1:27" ht="14.25" customHeight="1">
      <c r="A38" s="25"/>
      <c r="B38" s="25"/>
      <c r="C38" s="25"/>
      <c r="D38" s="55"/>
      <c r="E38" s="17"/>
      <c r="F38" s="17"/>
      <c r="G38" s="17"/>
      <c r="H38" s="17"/>
      <c r="I38" s="17"/>
      <c r="J38" s="17"/>
      <c r="K38" s="17"/>
      <c r="L38" s="17"/>
      <c r="M38" s="17"/>
      <c r="N38" s="17"/>
      <c r="O38" s="17"/>
      <c r="P38" s="17"/>
      <c r="Q38" s="17"/>
      <c r="R38" s="17"/>
      <c r="S38" s="17"/>
      <c r="T38" s="17"/>
      <c r="U38" s="17"/>
      <c r="V38" s="17"/>
      <c r="W38" s="17"/>
      <c r="X38" s="17"/>
      <c r="Y38" s="17"/>
      <c r="Z38" s="17"/>
      <c r="AA38" s="17"/>
    </row>
    <row r="39" spans="1:27" ht="14.25" customHeight="1">
      <c r="A39" s="25"/>
      <c r="B39" s="25"/>
      <c r="C39" s="25"/>
      <c r="D39" s="55"/>
      <c r="E39" s="17"/>
      <c r="F39" s="17"/>
      <c r="G39" s="17"/>
      <c r="H39" s="17"/>
      <c r="I39" s="17"/>
      <c r="J39" s="17"/>
      <c r="K39" s="17"/>
      <c r="L39" s="17"/>
      <c r="M39" s="17"/>
      <c r="N39" s="17"/>
      <c r="O39" s="17"/>
      <c r="P39" s="17"/>
      <c r="Q39" s="17"/>
      <c r="R39" s="17"/>
      <c r="S39" s="17"/>
      <c r="T39" s="17"/>
      <c r="U39" s="17"/>
      <c r="V39" s="17"/>
      <c r="W39" s="17"/>
      <c r="X39" s="17"/>
      <c r="Y39" s="17"/>
      <c r="Z39" s="17"/>
      <c r="AA39" s="17"/>
    </row>
    <row r="40" spans="1:27" ht="14.25" customHeight="1">
      <c r="A40" s="25"/>
      <c r="B40" s="25"/>
      <c r="C40" s="25"/>
      <c r="D40" s="55"/>
      <c r="E40" s="17"/>
      <c r="F40" s="17"/>
      <c r="G40" s="17"/>
      <c r="H40" s="17"/>
      <c r="I40" s="17"/>
      <c r="J40" s="17"/>
      <c r="K40" s="17"/>
      <c r="L40" s="17"/>
      <c r="M40" s="17"/>
      <c r="N40" s="17"/>
      <c r="O40" s="17"/>
      <c r="P40" s="17"/>
      <c r="Q40" s="17"/>
      <c r="R40" s="17"/>
      <c r="S40" s="17"/>
      <c r="T40" s="17"/>
      <c r="U40" s="17"/>
      <c r="V40" s="17"/>
      <c r="W40" s="17"/>
      <c r="X40" s="17"/>
      <c r="Y40" s="17"/>
      <c r="Z40" s="17"/>
      <c r="AA40" s="17"/>
    </row>
    <row r="41" spans="1:27" ht="14.25" customHeight="1">
      <c r="A41" s="25"/>
      <c r="B41" s="25"/>
      <c r="C41" s="25"/>
      <c r="D41" s="55"/>
      <c r="E41" s="17"/>
      <c r="F41" s="17"/>
      <c r="G41" s="17"/>
      <c r="H41" s="17"/>
      <c r="I41" s="17"/>
      <c r="J41" s="17"/>
      <c r="K41" s="17"/>
      <c r="L41" s="17"/>
      <c r="M41" s="17"/>
      <c r="N41" s="17"/>
      <c r="O41" s="17"/>
      <c r="P41" s="17"/>
      <c r="Q41" s="17"/>
      <c r="R41" s="17"/>
      <c r="S41" s="17"/>
      <c r="T41" s="17"/>
      <c r="U41" s="17"/>
      <c r="V41" s="17"/>
      <c r="W41" s="17"/>
      <c r="X41" s="17"/>
      <c r="Y41" s="17"/>
      <c r="Z41" s="17"/>
      <c r="AA41" s="17"/>
    </row>
    <row r="42" spans="1:27" ht="14.25" customHeight="1">
      <c r="A42" s="25"/>
      <c r="B42" s="25"/>
      <c r="C42" s="25"/>
      <c r="D42" s="55"/>
      <c r="E42" s="17"/>
      <c r="F42" s="17"/>
      <c r="G42" s="17"/>
      <c r="H42" s="17"/>
      <c r="I42" s="17"/>
      <c r="J42" s="17"/>
      <c r="K42" s="17"/>
      <c r="L42" s="17"/>
      <c r="M42" s="17"/>
      <c r="N42" s="17"/>
      <c r="O42" s="17"/>
      <c r="P42" s="17"/>
      <c r="Q42" s="17"/>
      <c r="R42" s="17"/>
      <c r="S42" s="17"/>
      <c r="T42" s="17"/>
      <c r="U42" s="17"/>
      <c r="V42" s="17"/>
      <c r="W42" s="17"/>
      <c r="X42" s="17"/>
      <c r="Y42" s="17"/>
      <c r="Z42" s="17"/>
      <c r="AA42" s="17"/>
    </row>
    <row r="43" spans="1:27" ht="14.25" customHeight="1">
      <c r="A43" s="25"/>
      <c r="B43" s="25"/>
      <c r="C43" s="25"/>
      <c r="D43" s="55"/>
      <c r="E43" s="17"/>
      <c r="F43" s="17"/>
      <c r="G43" s="17"/>
      <c r="H43" s="17"/>
      <c r="I43" s="17"/>
      <c r="J43" s="17"/>
      <c r="K43" s="17"/>
      <c r="L43" s="17"/>
      <c r="M43" s="17"/>
      <c r="N43" s="17"/>
      <c r="O43" s="17"/>
      <c r="P43" s="17"/>
      <c r="Q43" s="17"/>
      <c r="R43" s="17"/>
      <c r="S43" s="17"/>
      <c r="T43" s="17"/>
      <c r="U43" s="17"/>
      <c r="V43" s="17"/>
      <c r="W43" s="17"/>
      <c r="X43" s="17"/>
      <c r="Y43" s="17"/>
      <c r="Z43" s="17"/>
      <c r="AA43" s="17"/>
    </row>
    <row r="44" spans="1:27" ht="14.25" customHeight="1">
      <c r="A44" s="25"/>
      <c r="B44" s="25"/>
      <c r="C44" s="25"/>
      <c r="D44" s="55"/>
      <c r="E44" s="17"/>
      <c r="F44" s="17"/>
      <c r="G44" s="17"/>
      <c r="H44" s="17"/>
      <c r="I44" s="17"/>
      <c r="J44" s="17"/>
      <c r="K44" s="17"/>
      <c r="L44" s="17"/>
      <c r="M44" s="17"/>
      <c r="N44" s="17"/>
      <c r="O44" s="17"/>
      <c r="P44" s="17"/>
      <c r="Q44" s="17"/>
      <c r="R44" s="17"/>
      <c r="S44" s="17"/>
      <c r="T44" s="17"/>
      <c r="U44" s="17"/>
      <c r="V44" s="17"/>
      <c r="W44" s="17"/>
      <c r="X44" s="17"/>
      <c r="Y44" s="17"/>
      <c r="Z44" s="17"/>
      <c r="AA44" s="17"/>
    </row>
    <row r="45" spans="1:27" ht="14.25" customHeight="1">
      <c r="A45" s="25"/>
      <c r="B45" s="25"/>
      <c r="C45" s="25"/>
      <c r="D45" s="55"/>
      <c r="E45" s="17"/>
      <c r="F45" s="17"/>
      <c r="G45" s="17"/>
      <c r="H45" s="17"/>
      <c r="I45" s="17"/>
      <c r="J45" s="17"/>
      <c r="K45" s="17"/>
      <c r="L45" s="17"/>
      <c r="M45" s="17"/>
      <c r="N45" s="17"/>
      <c r="O45" s="17"/>
      <c r="P45" s="17"/>
      <c r="Q45" s="17"/>
      <c r="R45" s="17"/>
      <c r="S45" s="17"/>
      <c r="T45" s="17"/>
      <c r="U45" s="17"/>
      <c r="V45" s="17"/>
      <c r="W45" s="17"/>
      <c r="X45" s="17"/>
      <c r="Y45" s="17"/>
      <c r="Z45" s="17"/>
      <c r="AA45" s="17"/>
    </row>
    <row r="46" spans="1:27" ht="14.25" customHeight="1">
      <c r="A46" s="25"/>
      <c r="B46" s="25"/>
      <c r="C46" s="25"/>
      <c r="D46" s="55"/>
      <c r="E46" s="17"/>
      <c r="F46" s="17"/>
      <c r="G46" s="17"/>
      <c r="H46" s="17"/>
      <c r="I46" s="17"/>
      <c r="J46" s="17"/>
      <c r="K46" s="17"/>
      <c r="L46" s="17"/>
      <c r="M46" s="17"/>
      <c r="N46" s="17"/>
      <c r="O46" s="17"/>
      <c r="P46" s="17"/>
      <c r="Q46" s="17"/>
      <c r="R46" s="17"/>
      <c r="S46" s="17"/>
      <c r="T46" s="17"/>
      <c r="U46" s="17"/>
      <c r="V46" s="17"/>
      <c r="W46" s="17"/>
      <c r="X46" s="17"/>
      <c r="Y46" s="17"/>
      <c r="Z46" s="17"/>
      <c r="AA46" s="17"/>
    </row>
    <row r="47" spans="1:27" ht="14.25" customHeight="1">
      <c r="A47" s="25"/>
      <c r="B47" s="25"/>
      <c r="C47" s="25"/>
      <c r="D47" s="55"/>
      <c r="E47" s="17"/>
      <c r="F47" s="17"/>
      <c r="G47" s="17"/>
      <c r="H47" s="17"/>
      <c r="I47" s="17"/>
      <c r="J47" s="17"/>
      <c r="K47" s="17"/>
      <c r="L47" s="17"/>
      <c r="M47" s="17"/>
      <c r="N47" s="17"/>
      <c r="O47" s="17"/>
      <c r="P47" s="17"/>
      <c r="Q47" s="17"/>
      <c r="R47" s="17"/>
      <c r="S47" s="17"/>
      <c r="T47" s="17"/>
      <c r="U47" s="17"/>
      <c r="V47" s="17"/>
      <c r="W47" s="17"/>
      <c r="X47" s="17"/>
      <c r="Y47" s="17"/>
      <c r="Z47" s="17"/>
      <c r="AA47" s="17"/>
    </row>
    <row r="48" spans="1:27" ht="14.25" customHeight="1">
      <c r="A48" s="25"/>
      <c r="B48" s="25"/>
      <c r="C48" s="25"/>
      <c r="D48" s="55"/>
      <c r="E48" s="17"/>
      <c r="F48" s="17"/>
      <c r="G48" s="17"/>
      <c r="H48" s="17"/>
      <c r="I48" s="17"/>
      <c r="J48" s="17"/>
      <c r="K48" s="17"/>
      <c r="L48" s="17"/>
      <c r="M48" s="17"/>
      <c r="N48" s="17"/>
      <c r="O48" s="17"/>
      <c r="P48" s="17"/>
      <c r="Q48" s="17"/>
      <c r="R48" s="17"/>
      <c r="S48" s="17"/>
      <c r="T48" s="17"/>
      <c r="U48" s="17"/>
      <c r="V48" s="17"/>
      <c r="W48" s="17"/>
      <c r="X48" s="17"/>
      <c r="Y48" s="17"/>
      <c r="Z48" s="17"/>
      <c r="AA48" s="17"/>
    </row>
    <row r="49" spans="1:27" ht="14.25" customHeight="1">
      <c r="A49" s="25"/>
      <c r="B49" s="25"/>
      <c r="C49" s="25"/>
      <c r="D49" s="55"/>
      <c r="E49" s="17"/>
      <c r="F49" s="17"/>
      <c r="G49" s="17"/>
      <c r="H49" s="17"/>
      <c r="I49" s="17"/>
      <c r="J49" s="17"/>
      <c r="K49" s="17"/>
      <c r="L49" s="17"/>
      <c r="M49" s="17"/>
      <c r="N49" s="17"/>
      <c r="O49" s="17"/>
      <c r="P49" s="17"/>
      <c r="Q49" s="17"/>
      <c r="R49" s="17"/>
      <c r="S49" s="17"/>
      <c r="T49" s="17"/>
      <c r="U49" s="17"/>
      <c r="V49" s="17"/>
      <c r="W49" s="17"/>
      <c r="X49" s="17"/>
      <c r="Y49" s="17"/>
      <c r="Z49" s="17"/>
      <c r="AA49" s="17"/>
    </row>
    <row r="50" spans="1:27" ht="14.25" customHeight="1">
      <c r="A50" s="25"/>
      <c r="B50" s="25"/>
      <c r="C50" s="25"/>
      <c r="D50" s="55"/>
      <c r="E50" s="17"/>
      <c r="F50" s="17"/>
      <c r="G50" s="17"/>
      <c r="H50" s="17"/>
      <c r="I50" s="17"/>
      <c r="J50" s="17"/>
      <c r="K50" s="17"/>
      <c r="L50" s="17"/>
      <c r="M50" s="17"/>
      <c r="N50" s="17"/>
      <c r="O50" s="17"/>
      <c r="P50" s="17"/>
      <c r="Q50" s="17"/>
      <c r="R50" s="17"/>
      <c r="S50" s="17"/>
      <c r="T50" s="17"/>
      <c r="U50" s="17"/>
      <c r="V50" s="17"/>
      <c r="W50" s="17"/>
      <c r="X50" s="17"/>
      <c r="Y50" s="17"/>
      <c r="Z50" s="17"/>
      <c r="AA50" s="17"/>
    </row>
    <row r="51" spans="1:27" ht="14.25" customHeight="1">
      <c r="A51" s="25"/>
      <c r="B51" s="25"/>
      <c r="C51" s="25"/>
      <c r="D51" s="55"/>
      <c r="E51" s="17"/>
      <c r="F51" s="17"/>
      <c r="G51" s="17"/>
      <c r="H51" s="17"/>
      <c r="I51" s="17"/>
      <c r="J51" s="17"/>
      <c r="K51" s="17"/>
      <c r="L51" s="17"/>
      <c r="M51" s="17"/>
      <c r="N51" s="17"/>
      <c r="O51" s="17"/>
      <c r="P51" s="17"/>
      <c r="Q51" s="17"/>
      <c r="R51" s="17"/>
      <c r="S51" s="17"/>
      <c r="T51" s="17"/>
      <c r="U51" s="17"/>
      <c r="V51" s="17"/>
      <c r="W51" s="17"/>
      <c r="X51" s="17"/>
      <c r="Y51" s="17"/>
      <c r="Z51" s="17"/>
      <c r="AA51" s="17"/>
    </row>
    <row r="52" spans="1:27" ht="14.25" customHeight="1">
      <c r="A52" s="25"/>
      <c r="B52" s="25"/>
      <c r="C52" s="25"/>
      <c r="D52" s="55"/>
      <c r="E52" s="17"/>
      <c r="F52" s="17"/>
      <c r="G52" s="17"/>
      <c r="H52" s="17"/>
      <c r="I52" s="17"/>
      <c r="J52" s="17"/>
      <c r="K52" s="17"/>
      <c r="L52" s="17"/>
      <c r="M52" s="17"/>
      <c r="N52" s="17"/>
      <c r="O52" s="17"/>
      <c r="P52" s="17"/>
      <c r="Q52" s="17"/>
      <c r="R52" s="17"/>
      <c r="S52" s="17"/>
      <c r="T52" s="17"/>
      <c r="U52" s="17"/>
      <c r="V52" s="17"/>
      <c r="W52" s="17"/>
      <c r="X52" s="17"/>
      <c r="Y52" s="17"/>
      <c r="Z52" s="17"/>
      <c r="AA52" s="17"/>
    </row>
    <row r="53" spans="1:27" ht="14.25" customHeight="1">
      <c r="A53" s="25"/>
      <c r="B53" s="25"/>
      <c r="C53" s="25"/>
      <c r="D53" s="55"/>
      <c r="E53" s="17"/>
      <c r="F53" s="17"/>
      <c r="G53" s="17"/>
      <c r="H53" s="17"/>
      <c r="I53" s="17"/>
      <c r="J53" s="17"/>
      <c r="K53" s="17"/>
      <c r="L53" s="17"/>
      <c r="M53" s="17"/>
      <c r="N53" s="17"/>
      <c r="O53" s="17"/>
      <c r="P53" s="17"/>
      <c r="Q53" s="17"/>
      <c r="R53" s="17"/>
      <c r="S53" s="17"/>
      <c r="T53" s="17"/>
      <c r="U53" s="17"/>
      <c r="V53" s="17"/>
      <c r="W53" s="17"/>
      <c r="X53" s="17"/>
      <c r="Y53" s="17"/>
      <c r="Z53" s="17"/>
      <c r="AA53" s="17"/>
    </row>
    <row r="54" spans="1:27" ht="14.25" customHeight="1">
      <c r="A54" s="25"/>
      <c r="B54" s="25"/>
      <c r="C54" s="25"/>
      <c r="D54" s="55"/>
      <c r="E54" s="17"/>
      <c r="F54" s="17"/>
      <c r="G54" s="17"/>
      <c r="H54" s="17"/>
      <c r="I54" s="17"/>
      <c r="J54" s="17"/>
      <c r="K54" s="17"/>
      <c r="L54" s="17"/>
      <c r="M54" s="17"/>
      <c r="N54" s="17"/>
      <c r="O54" s="17"/>
      <c r="P54" s="17"/>
      <c r="Q54" s="17"/>
      <c r="R54" s="17"/>
      <c r="S54" s="17"/>
      <c r="T54" s="17"/>
      <c r="U54" s="17"/>
      <c r="V54" s="17"/>
      <c r="W54" s="17"/>
      <c r="X54" s="17"/>
      <c r="Y54" s="17"/>
      <c r="Z54" s="17"/>
      <c r="AA54" s="17"/>
    </row>
    <row r="55" spans="1:27" ht="14.25" customHeight="1">
      <c r="A55" s="25"/>
      <c r="B55" s="25"/>
      <c r="C55" s="25"/>
      <c r="D55" s="55"/>
      <c r="E55" s="17"/>
      <c r="F55" s="17"/>
      <c r="G55" s="17"/>
      <c r="H55" s="17"/>
      <c r="I55" s="17"/>
      <c r="J55" s="17"/>
      <c r="K55" s="17"/>
      <c r="L55" s="17"/>
      <c r="M55" s="17"/>
      <c r="N55" s="17"/>
      <c r="O55" s="17"/>
      <c r="P55" s="17"/>
      <c r="Q55" s="17"/>
      <c r="R55" s="17"/>
      <c r="S55" s="17"/>
      <c r="T55" s="17"/>
      <c r="U55" s="17"/>
      <c r="V55" s="17"/>
      <c r="W55" s="17"/>
      <c r="X55" s="17"/>
      <c r="Y55" s="17"/>
      <c r="Z55" s="17"/>
      <c r="AA55" s="17"/>
    </row>
    <row r="56" spans="1:27" ht="14.25" customHeight="1">
      <c r="A56" s="25"/>
      <c r="B56" s="25"/>
      <c r="C56" s="25"/>
      <c r="D56" s="55"/>
      <c r="E56" s="17"/>
      <c r="F56" s="17"/>
      <c r="G56" s="17"/>
      <c r="H56" s="17"/>
      <c r="I56" s="17"/>
      <c r="J56" s="17"/>
      <c r="K56" s="17"/>
      <c r="L56" s="17"/>
      <c r="M56" s="17"/>
      <c r="N56" s="17"/>
      <c r="O56" s="17"/>
      <c r="P56" s="17"/>
      <c r="Q56" s="17"/>
      <c r="R56" s="17"/>
      <c r="S56" s="17"/>
      <c r="T56" s="17"/>
      <c r="U56" s="17"/>
      <c r="V56" s="17"/>
      <c r="W56" s="17"/>
      <c r="X56" s="17"/>
      <c r="Y56" s="17"/>
      <c r="Z56" s="17"/>
      <c r="AA56" s="17"/>
    </row>
    <row r="57" spans="1:27" ht="14.25" customHeight="1">
      <c r="A57" s="25"/>
      <c r="B57" s="25"/>
      <c r="C57" s="25"/>
      <c r="D57" s="55"/>
      <c r="E57" s="17"/>
      <c r="F57" s="17"/>
      <c r="G57" s="17"/>
      <c r="H57" s="17"/>
      <c r="I57" s="17"/>
      <c r="J57" s="17"/>
      <c r="K57" s="17"/>
      <c r="L57" s="17"/>
      <c r="M57" s="17"/>
      <c r="N57" s="17"/>
      <c r="O57" s="17"/>
      <c r="P57" s="17"/>
      <c r="Q57" s="17"/>
      <c r="R57" s="17"/>
      <c r="S57" s="17"/>
      <c r="T57" s="17"/>
      <c r="U57" s="17"/>
      <c r="V57" s="17"/>
      <c r="W57" s="17"/>
      <c r="X57" s="17"/>
      <c r="Y57" s="17"/>
      <c r="Z57" s="17"/>
      <c r="AA57" s="17"/>
    </row>
    <row r="58" spans="1:27" ht="14.25" customHeight="1">
      <c r="A58" s="25"/>
      <c r="B58" s="25"/>
      <c r="C58" s="25"/>
      <c r="D58" s="55"/>
      <c r="E58" s="17"/>
      <c r="F58" s="17"/>
      <c r="G58" s="17"/>
      <c r="H58" s="17"/>
      <c r="I58" s="17"/>
      <c r="J58" s="17"/>
      <c r="K58" s="17"/>
      <c r="L58" s="17"/>
      <c r="M58" s="17"/>
      <c r="N58" s="17"/>
      <c r="O58" s="17"/>
      <c r="P58" s="17"/>
      <c r="Q58" s="17"/>
      <c r="R58" s="17"/>
      <c r="S58" s="17"/>
      <c r="T58" s="17"/>
      <c r="U58" s="17"/>
      <c r="V58" s="17"/>
      <c r="W58" s="17"/>
      <c r="X58" s="17"/>
      <c r="Y58" s="17"/>
      <c r="Z58" s="17"/>
      <c r="AA58" s="17"/>
    </row>
    <row r="59" spans="1:27" ht="14.25" customHeight="1">
      <c r="A59" s="25"/>
      <c r="B59" s="25"/>
      <c r="C59" s="25"/>
      <c r="D59" s="55"/>
      <c r="E59" s="17"/>
      <c r="F59" s="17"/>
      <c r="G59" s="17"/>
      <c r="H59" s="17"/>
      <c r="I59" s="17"/>
      <c r="J59" s="17"/>
      <c r="K59" s="17"/>
      <c r="L59" s="17"/>
      <c r="M59" s="17"/>
      <c r="N59" s="17"/>
      <c r="O59" s="17"/>
      <c r="P59" s="17"/>
      <c r="Q59" s="17"/>
      <c r="R59" s="17"/>
      <c r="S59" s="17"/>
      <c r="T59" s="17"/>
      <c r="U59" s="17"/>
      <c r="V59" s="17"/>
      <c r="W59" s="17"/>
      <c r="X59" s="17"/>
      <c r="Y59" s="17"/>
      <c r="Z59" s="17"/>
      <c r="AA59" s="17"/>
    </row>
    <row r="60" spans="1:27" ht="14.25" customHeight="1">
      <c r="A60" s="25"/>
      <c r="B60" s="25"/>
      <c r="C60" s="25"/>
      <c r="D60" s="55"/>
      <c r="E60" s="17"/>
      <c r="F60" s="17"/>
      <c r="G60" s="17"/>
      <c r="H60" s="17"/>
      <c r="I60" s="17"/>
      <c r="J60" s="17"/>
      <c r="K60" s="17"/>
      <c r="L60" s="17"/>
      <c r="M60" s="17"/>
      <c r="N60" s="17"/>
      <c r="O60" s="17"/>
      <c r="P60" s="17"/>
      <c r="Q60" s="17"/>
      <c r="R60" s="17"/>
      <c r="S60" s="17"/>
      <c r="T60" s="17"/>
      <c r="U60" s="17"/>
      <c r="V60" s="17"/>
      <c r="W60" s="17"/>
      <c r="X60" s="17"/>
      <c r="Y60" s="17"/>
      <c r="Z60" s="17"/>
      <c r="AA60" s="17"/>
    </row>
    <row r="61" spans="1:27" ht="14.25" customHeight="1">
      <c r="A61" s="25"/>
      <c r="B61" s="25"/>
      <c r="C61" s="25"/>
      <c r="D61" s="55"/>
      <c r="E61" s="17"/>
      <c r="F61" s="17"/>
      <c r="G61" s="17"/>
      <c r="H61" s="17"/>
      <c r="I61" s="17"/>
      <c r="J61" s="17"/>
      <c r="K61" s="17"/>
      <c r="L61" s="17"/>
      <c r="M61" s="17"/>
      <c r="N61" s="17"/>
      <c r="O61" s="17"/>
      <c r="P61" s="17"/>
      <c r="Q61" s="17"/>
      <c r="R61" s="17"/>
      <c r="S61" s="17"/>
      <c r="T61" s="17"/>
      <c r="U61" s="17"/>
      <c r="V61" s="17"/>
      <c r="W61" s="17"/>
      <c r="X61" s="17"/>
      <c r="Y61" s="17"/>
      <c r="Z61" s="17"/>
      <c r="AA61" s="17"/>
    </row>
    <row r="62" spans="1:27" ht="14.25" customHeight="1">
      <c r="A62" s="25"/>
      <c r="B62" s="25"/>
      <c r="C62" s="25"/>
      <c r="D62" s="55"/>
      <c r="E62" s="17"/>
      <c r="F62" s="17"/>
      <c r="G62" s="17"/>
      <c r="H62" s="17"/>
      <c r="I62" s="17"/>
      <c r="J62" s="17"/>
      <c r="K62" s="17"/>
      <c r="L62" s="17"/>
      <c r="M62" s="17"/>
      <c r="N62" s="17"/>
      <c r="O62" s="17"/>
      <c r="P62" s="17"/>
      <c r="Q62" s="17"/>
      <c r="R62" s="17"/>
      <c r="S62" s="17"/>
      <c r="T62" s="17"/>
      <c r="U62" s="17"/>
      <c r="V62" s="17"/>
      <c r="W62" s="17"/>
      <c r="X62" s="17"/>
      <c r="Y62" s="17"/>
      <c r="Z62" s="17"/>
      <c r="AA62" s="17"/>
    </row>
    <row r="63" spans="1:27" ht="14.25" customHeight="1">
      <c r="A63" s="25"/>
      <c r="B63" s="25"/>
      <c r="C63" s="25"/>
      <c r="D63" s="55"/>
      <c r="E63" s="17"/>
      <c r="F63" s="17"/>
      <c r="G63" s="17"/>
      <c r="H63" s="17"/>
      <c r="I63" s="17"/>
      <c r="J63" s="17"/>
      <c r="K63" s="17"/>
      <c r="L63" s="17"/>
      <c r="M63" s="17"/>
      <c r="N63" s="17"/>
      <c r="O63" s="17"/>
      <c r="P63" s="17"/>
      <c r="Q63" s="17"/>
      <c r="R63" s="17"/>
      <c r="S63" s="17"/>
      <c r="T63" s="17"/>
      <c r="U63" s="17"/>
      <c r="V63" s="17"/>
      <c r="W63" s="17"/>
      <c r="X63" s="17"/>
      <c r="Y63" s="17"/>
      <c r="Z63" s="17"/>
      <c r="AA63" s="17"/>
    </row>
    <row r="64" spans="1:27" ht="14.25" customHeight="1">
      <c r="A64" s="25"/>
      <c r="B64" s="25"/>
      <c r="C64" s="25"/>
      <c r="D64" s="55"/>
      <c r="E64" s="17"/>
      <c r="F64" s="17"/>
      <c r="G64" s="17"/>
      <c r="H64" s="17"/>
      <c r="I64" s="17"/>
      <c r="J64" s="17"/>
      <c r="K64" s="17"/>
      <c r="L64" s="17"/>
      <c r="M64" s="17"/>
      <c r="N64" s="17"/>
      <c r="O64" s="17"/>
      <c r="P64" s="17"/>
      <c r="Q64" s="17"/>
      <c r="R64" s="17"/>
      <c r="S64" s="17"/>
      <c r="T64" s="17"/>
      <c r="U64" s="17"/>
      <c r="V64" s="17"/>
      <c r="W64" s="17"/>
      <c r="X64" s="17"/>
      <c r="Y64" s="17"/>
      <c r="Z64" s="17"/>
      <c r="AA64" s="17"/>
    </row>
    <row r="65" spans="1:27" ht="14.25" customHeight="1">
      <c r="A65" s="25"/>
      <c r="B65" s="25"/>
      <c r="C65" s="25"/>
      <c r="D65" s="55"/>
      <c r="E65" s="17"/>
      <c r="F65" s="17"/>
      <c r="G65" s="17"/>
      <c r="H65" s="17"/>
      <c r="I65" s="17"/>
      <c r="J65" s="17"/>
      <c r="K65" s="17"/>
      <c r="L65" s="17"/>
      <c r="M65" s="17"/>
      <c r="N65" s="17"/>
      <c r="O65" s="17"/>
      <c r="P65" s="17"/>
      <c r="Q65" s="17"/>
      <c r="R65" s="17"/>
      <c r="S65" s="17"/>
      <c r="T65" s="17"/>
      <c r="U65" s="17"/>
      <c r="V65" s="17"/>
      <c r="W65" s="17"/>
      <c r="X65" s="17"/>
      <c r="Y65" s="17"/>
      <c r="Z65" s="17"/>
      <c r="AA65" s="17"/>
    </row>
    <row r="66" spans="1:27" ht="14.25" customHeight="1">
      <c r="A66" s="25"/>
      <c r="B66" s="25"/>
      <c r="C66" s="25"/>
      <c r="D66" s="55"/>
      <c r="E66" s="17"/>
      <c r="F66" s="17"/>
      <c r="G66" s="17"/>
      <c r="H66" s="17"/>
      <c r="I66" s="17"/>
      <c r="J66" s="17"/>
      <c r="K66" s="17"/>
      <c r="L66" s="17"/>
      <c r="M66" s="17"/>
      <c r="N66" s="17"/>
      <c r="O66" s="17"/>
      <c r="P66" s="17"/>
      <c r="Q66" s="17"/>
      <c r="R66" s="17"/>
      <c r="S66" s="17"/>
      <c r="T66" s="17"/>
      <c r="U66" s="17"/>
      <c r="V66" s="17"/>
      <c r="W66" s="17"/>
      <c r="X66" s="17"/>
      <c r="Y66" s="17"/>
      <c r="Z66" s="17"/>
      <c r="AA66" s="17"/>
    </row>
    <row r="67" spans="1:27" ht="14.25" customHeight="1">
      <c r="A67" s="25"/>
      <c r="B67" s="25"/>
      <c r="C67" s="25"/>
      <c r="D67" s="55"/>
      <c r="E67" s="17"/>
      <c r="F67" s="17"/>
      <c r="G67" s="17"/>
      <c r="H67" s="17"/>
      <c r="I67" s="17"/>
      <c r="J67" s="17"/>
      <c r="K67" s="17"/>
      <c r="L67" s="17"/>
      <c r="M67" s="17"/>
      <c r="N67" s="17"/>
      <c r="O67" s="17"/>
      <c r="P67" s="17"/>
      <c r="Q67" s="17"/>
      <c r="R67" s="17"/>
      <c r="S67" s="17"/>
      <c r="T67" s="17"/>
      <c r="U67" s="17"/>
      <c r="V67" s="17"/>
      <c r="W67" s="17"/>
      <c r="X67" s="17"/>
      <c r="Y67" s="17"/>
      <c r="Z67" s="17"/>
      <c r="AA67" s="17"/>
    </row>
    <row r="68" spans="1:27" ht="14.25" customHeight="1">
      <c r="A68" s="25"/>
      <c r="B68" s="25"/>
      <c r="C68" s="25"/>
      <c r="D68" s="55"/>
      <c r="E68" s="17"/>
      <c r="F68" s="17"/>
      <c r="G68" s="17"/>
      <c r="H68" s="17"/>
      <c r="I68" s="17"/>
      <c r="J68" s="17"/>
      <c r="K68" s="17"/>
      <c r="L68" s="17"/>
      <c r="M68" s="17"/>
      <c r="N68" s="17"/>
      <c r="O68" s="17"/>
      <c r="P68" s="17"/>
      <c r="Q68" s="17"/>
      <c r="R68" s="17"/>
      <c r="S68" s="17"/>
      <c r="T68" s="17"/>
      <c r="U68" s="17"/>
      <c r="V68" s="17"/>
      <c r="W68" s="17"/>
      <c r="X68" s="17"/>
      <c r="Y68" s="17"/>
      <c r="Z68" s="17"/>
      <c r="AA68" s="17"/>
    </row>
    <row r="69" spans="1:27" ht="14.25" customHeight="1">
      <c r="A69" s="25"/>
      <c r="B69" s="25"/>
      <c r="C69" s="25"/>
      <c r="D69" s="55"/>
      <c r="E69" s="17"/>
      <c r="F69" s="17"/>
      <c r="G69" s="17"/>
      <c r="H69" s="17"/>
      <c r="I69" s="17"/>
      <c r="J69" s="17"/>
      <c r="K69" s="17"/>
      <c r="L69" s="17"/>
      <c r="M69" s="17"/>
      <c r="N69" s="17"/>
      <c r="O69" s="17"/>
      <c r="P69" s="17"/>
      <c r="Q69" s="17"/>
      <c r="R69" s="17"/>
      <c r="S69" s="17"/>
      <c r="T69" s="17"/>
      <c r="U69" s="17"/>
      <c r="V69" s="17"/>
      <c r="W69" s="17"/>
      <c r="X69" s="17"/>
      <c r="Y69" s="17"/>
      <c r="Z69" s="17"/>
      <c r="AA69" s="17"/>
    </row>
    <row r="70" spans="1:27" ht="14.25" customHeight="1">
      <c r="A70" s="25"/>
      <c r="B70" s="25"/>
      <c r="C70" s="25"/>
      <c r="D70" s="55"/>
      <c r="E70" s="17"/>
      <c r="F70" s="17"/>
      <c r="G70" s="17"/>
      <c r="H70" s="17"/>
      <c r="I70" s="17"/>
      <c r="J70" s="17"/>
      <c r="K70" s="17"/>
      <c r="L70" s="17"/>
      <c r="M70" s="17"/>
      <c r="N70" s="17"/>
      <c r="O70" s="17"/>
      <c r="P70" s="17"/>
      <c r="Q70" s="17"/>
      <c r="R70" s="17"/>
      <c r="S70" s="17"/>
      <c r="T70" s="17"/>
      <c r="U70" s="17"/>
      <c r="V70" s="17"/>
      <c r="W70" s="17"/>
      <c r="X70" s="17"/>
      <c r="Y70" s="17"/>
      <c r="Z70" s="17"/>
      <c r="AA70" s="17"/>
    </row>
    <row r="71" spans="1:27" ht="14.25" customHeight="1">
      <c r="A71" s="25"/>
      <c r="B71" s="25"/>
      <c r="C71" s="25"/>
      <c r="D71" s="55"/>
      <c r="E71" s="17"/>
      <c r="F71" s="17"/>
      <c r="G71" s="17"/>
      <c r="H71" s="17"/>
      <c r="I71" s="17"/>
      <c r="J71" s="17"/>
      <c r="K71" s="17"/>
      <c r="L71" s="17"/>
      <c r="M71" s="17"/>
      <c r="N71" s="17"/>
      <c r="O71" s="17"/>
      <c r="P71" s="17"/>
      <c r="Q71" s="17"/>
      <c r="R71" s="17"/>
      <c r="S71" s="17"/>
      <c r="T71" s="17"/>
      <c r="U71" s="17"/>
      <c r="V71" s="17"/>
      <c r="W71" s="17"/>
      <c r="X71" s="17"/>
      <c r="Y71" s="17"/>
      <c r="Z71" s="17"/>
      <c r="AA71" s="17"/>
    </row>
    <row r="72" spans="1:27" ht="14.25" customHeight="1">
      <c r="A72" s="25"/>
      <c r="B72" s="25"/>
      <c r="C72" s="25"/>
      <c r="D72" s="55"/>
      <c r="E72" s="17"/>
      <c r="F72" s="17"/>
      <c r="G72" s="17"/>
      <c r="H72" s="17"/>
      <c r="I72" s="17"/>
      <c r="J72" s="17"/>
      <c r="K72" s="17"/>
      <c r="L72" s="17"/>
      <c r="M72" s="17"/>
      <c r="N72" s="17"/>
      <c r="O72" s="17"/>
      <c r="P72" s="17"/>
      <c r="Q72" s="17"/>
      <c r="R72" s="17"/>
      <c r="S72" s="17"/>
      <c r="T72" s="17"/>
      <c r="U72" s="17"/>
      <c r="V72" s="17"/>
      <c r="W72" s="17"/>
      <c r="X72" s="17"/>
      <c r="Y72" s="17"/>
      <c r="Z72" s="17"/>
      <c r="AA72" s="17"/>
    </row>
    <row r="73" spans="1:27" ht="14.25" customHeight="1">
      <c r="A73" s="25"/>
      <c r="B73" s="25"/>
      <c r="C73" s="25"/>
      <c r="D73" s="55"/>
      <c r="E73" s="17"/>
      <c r="F73" s="17"/>
      <c r="G73" s="17"/>
      <c r="H73" s="17"/>
      <c r="I73" s="17"/>
      <c r="J73" s="17"/>
      <c r="K73" s="17"/>
      <c r="L73" s="17"/>
      <c r="M73" s="17"/>
      <c r="N73" s="17"/>
      <c r="O73" s="17"/>
      <c r="P73" s="17"/>
      <c r="Q73" s="17"/>
      <c r="R73" s="17"/>
      <c r="S73" s="17"/>
      <c r="T73" s="17"/>
      <c r="U73" s="17"/>
      <c r="V73" s="17"/>
      <c r="W73" s="17"/>
      <c r="X73" s="17"/>
      <c r="Y73" s="17"/>
      <c r="Z73" s="17"/>
      <c r="AA73" s="17"/>
    </row>
    <row r="74" spans="1:27" ht="14.25" customHeight="1">
      <c r="A74" s="25"/>
      <c r="B74" s="25"/>
      <c r="C74" s="25"/>
      <c r="D74" s="55"/>
      <c r="E74" s="17"/>
      <c r="F74" s="17"/>
      <c r="G74" s="17"/>
      <c r="H74" s="17"/>
      <c r="I74" s="17"/>
      <c r="J74" s="17"/>
      <c r="K74" s="17"/>
      <c r="L74" s="17"/>
      <c r="M74" s="17"/>
      <c r="N74" s="17"/>
      <c r="O74" s="17"/>
      <c r="P74" s="17"/>
      <c r="Q74" s="17"/>
      <c r="R74" s="17"/>
      <c r="S74" s="17"/>
      <c r="T74" s="17"/>
      <c r="U74" s="17"/>
      <c r="V74" s="17"/>
      <c r="W74" s="17"/>
      <c r="X74" s="17"/>
      <c r="Y74" s="17"/>
      <c r="Z74" s="17"/>
      <c r="AA74" s="17"/>
    </row>
    <row r="75" spans="1:27" ht="14.25" customHeight="1">
      <c r="A75" s="25"/>
      <c r="B75" s="25"/>
      <c r="C75" s="25"/>
      <c r="D75" s="55"/>
      <c r="E75" s="17"/>
      <c r="F75" s="17"/>
      <c r="G75" s="17"/>
      <c r="H75" s="17"/>
      <c r="I75" s="17"/>
      <c r="J75" s="17"/>
      <c r="K75" s="17"/>
      <c r="L75" s="17"/>
      <c r="M75" s="17"/>
      <c r="N75" s="17"/>
      <c r="O75" s="17"/>
      <c r="P75" s="17"/>
      <c r="Q75" s="17"/>
      <c r="R75" s="17"/>
      <c r="S75" s="17"/>
      <c r="T75" s="17"/>
      <c r="U75" s="17"/>
      <c r="V75" s="17"/>
      <c r="W75" s="17"/>
      <c r="X75" s="17"/>
      <c r="Y75" s="17"/>
      <c r="Z75" s="17"/>
      <c r="AA75" s="17"/>
    </row>
    <row r="76" spans="1:27" ht="14.25" customHeight="1">
      <c r="A76" s="25"/>
      <c r="B76" s="25"/>
      <c r="C76" s="25"/>
      <c r="D76" s="55"/>
      <c r="E76" s="17"/>
      <c r="F76" s="17"/>
      <c r="G76" s="17"/>
      <c r="H76" s="17"/>
      <c r="I76" s="17"/>
      <c r="J76" s="17"/>
      <c r="K76" s="17"/>
      <c r="L76" s="17"/>
      <c r="M76" s="17"/>
      <c r="N76" s="17"/>
      <c r="O76" s="17"/>
      <c r="P76" s="17"/>
      <c r="Q76" s="17"/>
      <c r="R76" s="17"/>
      <c r="S76" s="17"/>
      <c r="T76" s="17"/>
      <c r="U76" s="17"/>
      <c r="V76" s="17"/>
      <c r="W76" s="17"/>
      <c r="X76" s="17"/>
      <c r="Y76" s="17"/>
      <c r="Z76" s="17"/>
      <c r="AA76" s="17"/>
    </row>
    <row r="77" spans="1:27" ht="14.25" customHeight="1">
      <c r="A77" s="25"/>
      <c r="B77" s="25"/>
      <c r="C77" s="25"/>
      <c r="D77" s="55"/>
      <c r="E77" s="17"/>
      <c r="F77" s="17"/>
      <c r="G77" s="17"/>
      <c r="H77" s="17"/>
      <c r="I77" s="17"/>
      <c r="J77" s="17"/>
      <c r="K77" s="17"/>
      <c r="L77" s="17"/>
      <c r="M77" s="17"/>
      <c r="N77" s="17"/>
      <c r="O77" s="17"/>
      <c r="P77" s="17"/>
      <c r="Q77" s="17"/>
      <c r="R77" s="17"/>
      <c r="S77" s="17"/>
      <c r="T77" s="17"/>
      <c r="U77" s="17"/>
      <c r="V77" s="17"/>
      <c r="W77" s="17"/>
      <c r="X77" s="17"/>
      <c r="Y77" s="17"/>
      <c r="Z77" s="17"/>
      <c r="AA77" s="17"/>
    </row>
    <row r="78" spans="1:27" ht="14.25" customHeight="1">
      <c r="A78" s="25"/>
      <c r="B78" s="25"/>
      <c r="C78" s="25"/>
      <c r="D78" s="55"/>
      <c r="E78" s="17"/>
      <c r="F78" s="17"/>
      <c r="G78" s="17"/>
      <c r="H78" s="17"/>
      <c r="I78" s="17"/>
      <c r="J78" s="17"/>
      <c r="K78" s="17"/>
      <c r="L78" s="17"/>
      <c r="M78" s="17"/>
      <c r="N78" s="17"/>
      <c r="O78" s="17"/>
      <c r="P78" s="17"/>
      <c r="Q78" s="17"/>
      <c r="R78" s="17"/>
      <c r="S78" s="17"/>
      <c r="T78" s="17"/>
      <c r="U78" s="17"/>
      <c r="V78" s="17"/>
      <c r="W78" s="17"/>
      <c r="X78" s="17"/>
      <c r="Y78" s="17"/>
      <c r="Z78" s="17"/>
      <c r="AA78" s="17"/>
    </row>
    <row r="79" spans="1:27" ht="14.25" customHeight="1">
      <c r="A79" s="25"/>
      <c r="B79" s="25"/>
      <c r="C79" s="25"/>
      <c r="D79" s="55"/>
      <c r="E79" s="17"/>
      <c r="F79" s="17"/>
      <c r="G79" s="17"/>
      <c r="H79" s="17"/>
      <c r="I79" s="17"/>
      <c r="J79" s="17"/>
      <c r="K79" s="17"/>
      <c r="L79" s="17"/>
      <c r="M79" s="17"/>
      <c r="N79" s="17"/>
      <c r="O79" s="17"/>
      <c r="P79" s="17"/>
      <c r="Q79" s="17"/>
      <c r="R79" s="17"/>
      <c r="S79" s="17"/>
      <c r="T79" s="17"/>
      <c r="U79" s="17"/>
      <c r="V79" s="17"/>
      <c r="W79" s="17"/>
      <c r="X79" s="17"/>
      <c r="Y79" s="17"/>
      <c r="Z79" s="17"/>
      <c r="AA79" s="17"/>
    </row>
    <row r="80" spans="1:27" ht="14.25" customHeight="1">
      <c r="A80" s="25"/>
      <c r="B80" s="25"/>
      <c r="C80" s="25"/>
      <c r="D80" s="55"/>
      <c r="E80" s="17"/>
      <c r="F80" s="17"/>
      <c r="G80" s="17"/>
      <c r="H80" s="17"/>
      <c r="I80" s="17"/>
      <c r="J80" s="17"/>
      <c r="K80" s="17"/>
      <c r="L80" s="17"/>
      <c r="M80" s="17"/>
      <c r="N80" s="17"/>
      <c r="O80" s="17"/>
      <c r="P80" s="17"/>
      <c r="Q80" s="17"/>
      <c r="R80" s="17"/>
      <c r="S80" s="17"/>
      <c r="T80" s="17"/>
      <c r="U80" s="17"/>
      <c r="V80" s="17"/>
      <c r="W80" s="17"/>
      <c r="X80" s="17"/>
      <c r="Y80" s="17"/>
      <c r="Z80" s="17"/>
      <c r="AA80" s="17"/>
    </row>
    <row r="81" spans="1:27" ht="14.25" customHeight="1">
      <c r="A81" s="25"/>
      <c r="B81" s="25"/>
      <c r="C81" s="25"/>
      <c r="D81" s="55"/>
      <c r="E81" s="17"/>
      <c r="F81" s="17"/>
      <c r="G81" s="17"/>
      <c r="H81" s="17"/>
      <c r="I81" s="17"/>
      <c r="J81" s="17"/>
      <c r="K81" s="17"/>
      <c r="L81" s="17"/>
      <c r="M81" s="17"/>
      <c r="N81" s="17"/>
      <c r="O81" s="17"/>
      <c r="P81" s="17"/>
      <c r="Q81" s="17"/>
      <c r="R81" s="17"/>
      <c r="S81" s="17"/>
      <c r="T81" s="17"/>
      <c r="U81" s="17"/>
      <c r="V81" s="17"/>
      <c r="W81" s="17"/>
      <c r="X81" s="17"/>
      <c r="Y81" s="17"/>
      <c r="Z81" s="17"/>
      <c r="AA81" s="17"/>
    </row>
    <row r="82" spans="1:27" ht="14.25" customHeight="1">
      <c r="A82" s="25"/>
      <c r="B82" s="25"/>
      <c r="C82" s="25"/>
      <c r="D82" s="55"/>
      <c r="E82" s="17"/>
      <c r="F82" s="17"/>
      <c r="G82" s="17"/>
      <c r="H82" s="17"/>
      <c r="I82" s="17"/>
      <c r="J82" s="17"/>
      <c r="K82" s="17"/>
      <c r="L82" s="17"/>
      <c r="M82" s="17"/>
      <c r="N82" s="17"/>
      <c r="O82" s="17"/>
      <c r="P82" s="17"/>
      <c r="Q82" s="17"/>
      <c r="R82" s="17"/>
      <c r="S82" s="17"/>
      <c r="T82" s="17"/>
      <c r="U82" s="17"/>
      <c r="V82" s="17"/>
      <c r="W82" s="17"/>
      <c r="X82" s="17"/>
      <c r="Y82" s="17"/>
      <c r="Z82" s="17"/>
      <c r="AA82" s="17"/>
    </row>
    <row r="83" spans="1:27" ht="14.25" customHeight="1">
      <c r="A83" s="25"/>
      <c r="B83" s="25"/>
      <c r="C83" s="25"/>
      <c r="D83" s="55"/>
      <c r="E83" s="17"/>
      <c r="F83" s="17"/>
      <c r="G83" s="17"/>
      <c r="H83" s="17"/>
      <c r="I83" s="17"/>
      <c r="J83" s="17"/>
      <c r="K83" s="17"/>
      <c r="L83" s="17"/>
      <c r="M83" s="17"/>
      <c r="N83" s="17"/>
      <c r="O83" s="17"/>
      <c r="P83" s="17"/>
      <c r="Q83" s="17"/>
      <c r="R83" s="17"/>
      <c r="S83" s="17"/>
      <c r="T83" s="17"/>
      <c r="U83" s="17"/>
      <c r="V83" s="17"/>
      <c r="W83" s="17"/>
      <c r="X83" s="17"/>
      <c r="Y83" s="17"/>
      <c r="Z83" s="17"/>
      <c r="AA83" s="17"/>
    </row>
    <row r="84" spans="1:27" ht="14.25" customHeight="1">
      <c r="A84" s="25"/>
      <c r="B84" s="25"/>
      <c r="C84" s="25"/>
      <c r="D84" s="55"/>
      <c r="E84" s="17"/>
      <c r="F84" s="17"/>
      <c r="G84" s="17"/>
      <c r="H84" s="17"/>
      <c r="I84" s="17"/>
      <c r="J84" s="17"/>
      <c r="K84" s="17"/>
      <c r="L84" s="17"/>
      <c r="M84" s="17"/>
      <c r="N84" s="17"/>
      <c r="O84" s="17"/>
      <c r="P84" s="17"/>
      <c r="Q84" s="17"/>
      <c r="R84" s="17"/>
      <c r="S84" s="17"/>
      <c r="T84" s="17"/>
      <c r="U84" s="17"/>
      <c r="V84" s="17"/>
      <c r="W84" s="17"/>
      <c r="X84" s="17"/>
      <c r="Y84" s="17"/>
      <c r="Z84" s="17"/>
      <c r="AA84" s="17"/>
    </row>
    <row r="85" spans="1:27" ht="14.25" customHeight="1">
      <c r="A85" s="25"/>
      <c r="B85" s="25"/>
      <c r="C85" s="25"/>
      <c r="D85" s="55"/>
      <c r="E85" s="17"/>
      <c r="F85" s="17"/>
      <c r="G85" s="17"/>
      <c r="H85" s="17"/>
      <c r="I85" s="17"/>
      <c r="J85" s="17"/>
      <c r="K85" s="17"/>
      <c r="L85" s="17"/>
      <c r="M85" s="17"/>
      <c r="N85" s="17"/>
      <c r="O85" s="17"/>
      <c r="P85" s="17"/>
      <c r="Q85" s="17"/>
      <c r="R85" s="17"/>
      <c r="S85" s="17"/>
      <c r="T85" s="17"/>
      <c r="U85" s="17"/>
      <c r="V85" s="17"/>
      <c r="W85" s="17"/>
      <c r="X85" s="17"/>
      <c r="Y85" s="17"/>
      <c r="Z85" s="17"/>
      <c r="AA85" s="17"/>
    </row>
    <row r="86" spans="1:27" ht="14.25" customHeight="1">
      <c r="A86" s="25"/>
      <c r="B86" s="25"/>
      <c r="C86" s="25"/>
      <c r="D86" s="55"/>
      <c r="E86" s="17"/>
      <c r="F86" s="17"/>
      <c r="G86" s="17"/>
      <c r="H86" s="17"/>
      <c r="I86" s="17"/>
      <c r="J86" s="17"/>
      <c r="K86" s="17"/>
      <c r="L86" s="17"/>
      <c r="M86" s="17"/>
      <c r="N86" s="17"/>
      <c r="O86" s="17"/>
      <c r="P86" s="17"/>
      <c r="Q86" s="17"/>
      <c r="R86" s="17"/>
      <c r="S86" s="17"/>
      <c r="T86" s="17"/>
      <c r="U86" s="17"/>
      <c r="V86" s="17"/>
      <c r="W86" s="17"/>
      <c r="X86" s="17"/>
      <c r="Y86" s="17"/>
      <c r="Z86" s="17"/>
      <c r="AA86" s="17"/>
    </row>
    <row r="87" spans="1:27" ht="14.25" customHeight="1">
      <c r="A87" s="25"/>
      <c r="B87" s="25"/>
      <c r="C87" s="25"/>
      <c r="D87" s="55"/>
      <c r="E87" s="17"/>
      <c r="F87" s="17"/>
      <c r="G87" s="17"/>
      <c r="H87" s="17"/>
      <c r="I87" s="17"/>
      <c r="J87" s="17"/>
      <c r="K87" s="17"/>
      <c r="L87" s="17"/>
      <c r="M87" s="17"/>
      <c r="N87" s="17"/>
      <c r="O87" s="17"/>
      <c r="P87" s="17"/>
      <c r="Q87" s="17"/>
      <c r="R87" s="17"/>
      <c r="S87" s="17"/>
      <c r="T87" s="17"/>
      <c r="U87" s="17"/>
      <c r="V87" s="17"/>
      <c r="W87" s="17"/>
      <c r="X87" s="17"/>
      <c r="Y87" s="17"/>
      <c r="Z87" s="17"/>
      <c r="AA87" s="17"/>
    </row>
    <row r="88" spans="1:27" ht="14.25" customHeight="1">
      <c r="A88" s="25"/>
      <c r="B88" s="25"/>
      <c r="C88" s="25"/>
      <c r="D88" s="55"/>
      <c r="E88" s="17"/>
      <c r="F88" s="17"/>
      <c r="G88" s="17"/>
      <c r="H88" s="17"/>
      <c r="I88" s="17"/>
      <c r="J88" s="17"/>
      <c r="K88" s="17"/>
      <c r="L88" s="17"/>
      <c r="M88" s="17"/>
      <c r="N88" s="17"/>
      <c r="O88" s="17"/>
      <c r="P88" s="17"/>
      <c r="Q88" s="17"/>
      <c r="R88" s="17"/>
      <c r="S88" s="17"/>
      <c r="T88" s="17"/>
      <c r="U88" s="17"/>
      <c r="V88" s="17"/>
      <c r="W88" s="17"/>
      <c r="X88" s="17"/>
      <c r="Y88" s="17"/>
      <c r="Z88" s="17"/>
      <c r="AA88" s="17"/>
    </row>
    <row r="89" spans="1:27" ht="14.25" customHeight="1">
      <c r="A89" s="25"/>
      <c r="B89" s="25"/>
      <c r="C89" s="25"/>
      <c r="D89" s="55"/>
      <c r="E89" s="17"/>
      <c r="F89" s="17"/>
      <c r="G89" s="17"/>
      <c r="H89" s="17"/>
      <c r="I89" s="17"/>
      <c r="J89" s="17"/>
      <c r="K89" s="17"/>
      <c r="L89" s="17"/>
      <c r="M89" s="17"/>
      <c r="N89" s="17"/>
      <c r="O89" s="17"/>
      <c r="P89" s="17"/>
      <c r="Q89" s="17"/>
      <c r="R89" s="17"/>
      <c r="S89" s="17"/>
      <c r="T89" s="17"/>
      <c r="U89" s="17"/>
      <c r="V89" s="17"/>
      <c r="W89" s="17"/>
      <c r="X89" s="17"/>
      <c r="Y89" s="17"/>
      <c r="Z89" s="17"/>
      <c r="AA89" s="17"/>
    </row>
    <row r="90" spans="1:27" ht="14.25" customHeight="1">
      <c r="A90" s="25"/>
      <c r="B90" s="25"/>
      <c r="C90" s="25"/>
      <c r="D90" s="55"/>
      <c r="E90" s="17"/>
      <c r="F90" s="17"/>
      <c r="G90" s="17"/>
      <c r="H90" s="17"/>
      <c r="I90" s="17"/>
      <c r="J90" s="17"/>
      <c r="K90" s="17"/>
      <c r="L90" s="17"/>
      <c r="M90" s="17"/>
      <c r="N90" s="17"/>
      <c r="O90" s="17"/>
      <c r="P90" s="17"/>
      <c r="Q90" s="17"/>
      <c r="R90" s="17"/>
      <c r="S90" s="17"/>
      <c r="T90" s="17"/>
      <c r="U90" s="17"/>
      <c r="V90" s="17"/>
      <c r="W90" s="17"/>
      <c r="X90" s="17"/>
      <c r="Y90" s="17"/>
      <c r="Z90" s="17"/>
      <c r="AA90" s="17"/>
    </row>
    <row r="91" spans="1:27" ht="14.25" customHeight="1">
      <c r="A91" s="25"/>
      <c r="B91" s="25"/>
      <c r="C91" s="25"/>
      <c r="D91" s="55"/>
      <c r="E91" s="17"/>
      <c r="F91" s="17"/>
      <c r="G91" s="17"/>
      <c r="H91" s="17"/>
      <c r="I91" s="17"/>
      <c r="J91" s="17"/>
      <c r="K91" s="17"/>
      <c r="L91" s="17"/>
      <c r="M91" s="17"/>
      <c r="N91" s="17"/>
      <c r="O91" s="17"/>
      <c r="P91" s="17"/>
      <c r="Q91" s="17"/>
      <c r="R91" s="17"/>
      <c r="S91" s="17"/>
      <c r="T91" s="17"/>
      <c r="U91" s="17"/>
      <c r="V91" s="17"/>
      <c r="W91" s="17"/>
      <c r="X91" s="17"/>
      <c r="Y91" s="17"/>
      <c r="Z91" s="17"/>
      <c r="AA91" s="17"/>
    </row>
    <row r="92" spans="1:27" ht="14.25" customHeight="1">
      <c r="A92" s="25"/>
      <c r="B92" s="25"/>
      <c r="C92" s="25"/>
      <c r="D92" s="55"/>
      <c r="E92" s="17"/>
      <c r="F92" s="17"/>
      <c r="G92" s="17"/>
      <c r="H92" s="17"/>
      <c r="I92" s="17"/>
      <c r="J92" s="17"/>
      <c r="K92" s="17"/>
      <c r="L92" s="17"/>
      <c r="M92" s="17"/>
      <c r="N92" s="17"/>
      <c r="O92" s="17"/>
      <c r="P92" s="17"/>
      <c r="Q92" s="17"/>
      <c r="R92" s="17"/>
      <c r="S92" s="17"/>
      <c r="T92" s="17"/>
      <c r="U92" s="17"/>
      <c r="V92" s="17"/>
      <c r="W92" s="17"/>
      <c r="X92" s="17"/>
      <c r="Y92" s="17"/>
      <c r="Z92" s="17"/>
      <c r="AA92" s="17"/>
    </row>
    <row r="93" spans="1:27" ht="14.25" customHeight="1">
      <c r="A93" s="25"/>
      <c r="B93" s="25"/>
      <c r="C93" s="25"/>
      <c r="D93" s="55"/>
      <c r="E93" s="17"/>
      <c r="F93" s="17"/>
      <c r="G93" s="17"/>
      <c r="H93" s="17"/>
      <c r="I93" s="17"/>
      <c r="J93" s="17"/>
      <c r="K93" s="17"/>
      <c r="L93" s="17"/>
      <c r="M93" s="17"/>
      <c r="N93" s="17"/>
      <c r="O93" s="17"/>
      <c r="P93" s="17"/>
      <c r="Q93" s="17"/>
      <c r="R93" s="17"/>
      <c r="S93" s="17"/>
      <c r="T93" s="17"/>
      <c r="U93" s="17"/>
      <c r="V93" s="17"/>
      <c r="W93" s="17"/>
      <c r="X93" s="17"/>
      <c r="Y93" s="17"/>
      <c r="Z93" s="17"/>
      <c r="AA93" s="17"/>
    </row>
    <row r="94" spans="1:27" ht="14.25" customHeight="1">
      <c r="A94" s="25"/>
      <c r="B94" s="25"/>
      <c r="C94" s="25"/>
      <c r="D94" s="55"/>
      <c r="E94" s="17"/>
      <c r="F94" s="17"/>
      <c r="G94" s="17"/>
      <c r="H94" s="17"/>
      <c r="I94" s="17"/>
      <c r="J94" s="17"/>
      <c r="K94" s="17"/>
      <c r="L94" s="17"/>
      <c r="M94" s="17"/>
      <c r="N94" s="17"/>
      <c r="O94" s="17"/>
      <c r="P94" s="17"/>
      <c r="Q94" s="17"/>
      <c r="R94" s="17"/>
      <c r="S94" s="17"/>
      <c r="T94" s="17"/>
      <c r="U94" s="17"/>
      <c r="V94" s="17"/>
      <c r="W94" s="17"/>
      <c r="X94" s="17"/>
      <c r="Y94" s="17"/>
      <c r="Z94" s="17"/>
      <c r="AA94" s="17"/>
    </row>
    <row r="95" spans="1:27" ht="14.25" customHeight="1">
      <c r="A95" s="25"/>
      <c r="B95" s="25"/>
      <c r="C95" s="25"/>
      <c r="D95" s="55"/>
      <c r="E95" s="17"/>
      <c r="F95" s="17"/>
      <c r="G95" s="17"/>
      <c r="H95" s="17"/>
      <c r="I95" s="17"/>
      <c r="J95" s="17"/>
      <c r="K95" s="17"/>
      <c r="L95" s="17"/>
      <c r="M95" s="17"/>
      <c r="N95" s="17"/>
      <c r="O95" s="17"/>
      <c r="P95" s="17"/>
      <c r="Q95" s="17"/>
      <c r="R95" s="17"/>
      <c r="S95" s="17"/>
      <c r="T95" s="17"/>
      <c r="U95" s="17"/>
      <c r="V95" s="17"/>
      <c r="W95" s="17"/>
      <c r="X95" s="17"/>
      <c r="Y95" s="17"/>
      <c r="Z95" s="17"/>
      <c r="AA95" s="17"/>
    </row>
    <row r="96" spans="1:27" ht="14.25" customHeight="1">
      <c r="A96" s="25"/>
      <c r="B96" s="25"/>
      <c r="C96" s="25"/>
      <c r="D96" s="55"/>
      <c r="E96" s="17"/>
      <c r="F96" s="17"/>
      <c r="G96" s="17"/>
      <c r="H96" s="17"/>
      <c r="I96" s="17"/>
      <c r="J96" s="17"/>
      <c r="K96" s="17"/>
      <c r="L96" s="17"/>
      <c r="M96" s="17"/>
      <c r="N96" s="17"/>
      <c r="O96" s="17"/>
      <c r="P96" s="17"/>
      <c r="Q96" s="17"/>
      <c r="R96" s="17"/>
      <c r="S96" s="17"/>
      <c r="T96" s="17"/>
      <c r="U96" s="17"/>
      <c r="V96" s="17"/>
      <c r="W96" s="17"/>
      <c r="X96" s="17"/>
      <c r="Y96" s="17"/>
      <c r="Z96" s="17"/>
      <c r="AA96" s="17"/>
    </row>
    <row r="97" spans="1:27" ht="14.25" customHeight="1">
      <c r="A97" s="25"/>
      <c r="B97" s="25"/>
      <c r="C97" s="25"/>
      <c r="D97" s="55"/>
      <c r="E97" s="17"/>
      <c r="F97" s="17"/>
      <c r="G97" s="17"/>
      <c r="H97" s="17"/>
      <c r="I97" s="17"/>
      <c r="J97" s="17"/>
      <c r="K97" s="17"/>
      <c r="L97" s="17"/>
      <c r="M97" s="17"/>
      <c r="N97" s="17"/>
      <c r="O97" s="17"/>
      <c r="P97" s="17"/>
      <c r="Q97" s="17"/>
      <c r="R97" s="17"/>
      <c r="S97" s="17"/>
      <c r="T97" s="17"/>
      <c r="U97" s="17"/>
      <c r="V97" s="17"/>
      <c r="W97" s="17"/>
      <c r="X97" s="17"/>
      <c r="Y97" s="17"/>
      <c r="Z97" s="17"/>
      <c r="AA97" s="17"/>
    </row>
    <row r="98" spans="1:27" ht="14.25" customHeight="1">
      <c r="A98" s="25"/>
      <c r="B98" s="25"/>
      <c r="C98" s="25"/>
      <c r="D98" s="55"/>
      <c r="E98" s="17"/>
      <c r="F98" s="17"/>
      <c r="G98" s="17"/>
      <c r="H98" s="17"/>
      <c r="I98" s="17"/>
      <c r="J98" s="17"/>
      <c r="K98" s="17"/>
      <c r="L98" s="17"/>
      <c r="M98" s="17"/>
      <c r="N98" s="17"/>
      <c r="O98" s="17"/>
      <c r="P98" s="17"/>
      <c r="Q98" s="17"/>
      <c r="R98" s="17"/>
      <c r="S98" s="17"/>
      <c r="T98" s="17"/>
      <c r="U98" s="17"/>
      <c r="V98" s="17"/>
      <c r="W98" s="17"/>
      <c r="X98" s="17"/>
      <c r="Y98" s="17"/>
      <c r="Z98" s="17"/>
      <c r="AA98" s="17"/>
    </row>
    <row r="99" spans="1:27" ht="14.25" customHeight="1">
      <c r="A99" s="25"/>
      <c r="B99" s="25"/>
      <c r="C99" s="25"/>
      <c r="D99" s="55"/>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4.25" customHeight="1">
      <c r="A100" s="25"/>
      <c r="B100" s="25"/>
      <c r="C100" s="25"/>
      <c r="D100" s="55"/>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4.25" customHeight="1">
      <c r="A101" s="25"/>
      <c r="B101" s="25"/>
      <c r="C101" s="25"/>
      <c r="D101" s="55"/>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4.25" customHeight="1">
      <c r="A102" s="25"/>
      <c r="B102" s="25"/>
      <c r="C102" s="25"/>
      <c r="D102" s="55"/>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4.25" customHeight="1">
      <c r="A103" s="25"/>
      <c r="B103" s="25"/>
      <c r="C103" s="25"/>
      <c r="D103" s="55"/>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4.25" customHeight="1">
      <c r="A104" s="25"/>
      <c r="B104" s="25"/>
      <c r="C104" s="25"/>
      <c r="D104" s="55"/>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4.25" customHeight="1">
      <c r="A105" s="25"/>
      <c r="B105" s="25"/>
      <c r="C105" s="25"/>
      <c r="D105" s="55"/>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4.25" customHeight="1">
      <c r="A106" s="25"/>
      <c r="B106" s="25"/>
      <c r="C106" s="25"/>
      <c r="D106" s="55"/>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4.25" customHeight="1">
      <c r="A107" s="25"/>
      <c r="B107" s="25"/>
      <c r="C107" s="25"/>
      <c r="D107" s="55"/>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4.25" customHeight="1">
      <c r="A108" s="25"/>
      <c r="B108" s="25"/>
      <c r="C108" s="25"/>
      <c r="D108" s="55"/>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4.25" customHeight="1">
      <c r="A109" s="25"/>
      <c r="B109" s="25"/>
      <c r="C109" s="25"/>
      <c r="D109" s="55"/>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4.25" customHeight="1">
      <c r="A110" s="25"/>
      <c r="B110" s="25"/>
      <c r="C110" s="25"/>
      <c r="D110" s="55"/>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4.25" customHeight="1">
      <c r="A111" s="25"/>
      <c r="B111" s="25"/>
      <c r="C111" s="25"/>
      <c r="D111" s="55"/>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4.25" customHeight="1">
      <c r="A112" s="25"/>
      <c r="B112" s="25"/>
      <c r="C112" s="25"/>
      <c r="D112" s="55"/>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4.25" customHeight="1">
      <c r="A113" s="25"/>
      <c r="B113" s="25"/>
      <c r="C113" s="25"/>
      <c r="D113" s="55"/>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4.25" customHeight="1">
      <c r="A114" s="25"/>
      <c r="B114" s="25"/>
      <c r="C114" s="25"/>
      <c r="D114" s="55"/>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4.25" customHeight="1">
      <c r="A115" s="25"/>
      <c r="B115" s="25"/>
      <c r="C115" s="25"/>
      <c r="D115" s="55"/>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4.25" customHeight="1">
      <c r="A116" s="25"/>
      <c r="B116" s="25"/>
      <c r="C116" s="25"/>
      <c r="D116" s="55"/>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4.25" customHeight="1">
      <c r="A117" s="25"/>
      <c r="B117" s="25"/>
      <c r="C117" s="25"/>
      <c r="D117" s="55"/>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4.25" customHeight="1">
      <c r="A118" s="25"/>
      <c r="B118" s="25"/>
      <c r="C118" s="25"/>
      <c r="D118" s="55"/>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4.25" customHeight="1">
      <c r="A119" s="25"/>
      <c r="B119" s="25"/>
      <c r="C119" s="25"/>
      <c r="D119" s="55"/>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4.25" customHeight="1">
      <c r="A120" s="25"/>
      <c r="B120" s="25"/>
      <c r="C120" s="25"/>
      <c r="D120" s="55"/>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4.25" customHeight="1">
      <c r="A121" s="25"/>
      <c r="B121" s="25"/>
      <c r="C121" s="25"/>
      <c r="D121" s="55"/>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4.25" customHeight="1">
      <c r="A122" s="25"/>
      <c r="B122" s="25"/>
      <c r="C122" s="25"/>
      <c r="D122" s="55"/>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4.25" customHeight="1">
      <c r="A123" s="25"/>
      <c r="B123" s="25"/>
      <c r="C123" s="25"/>
      <c r="D123" s="55"/>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4.25" customHeight="1">
      <c r="A124" s="25"/>
      <c r="B124" s="25"/>
      <c r="C124" s="25"/>
      <c r="D124" s="55"/>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4.25" customHeight="1">
      <c r="A125" s="25"/>
      <c r="B125" s="25"/>
      <c r="C125" s="25"/>
      <c r="D125" s="55"/>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4.25" customHeight="1">
      <c r="A126" s="25"/>
      <c r="B126" s="25"/>
      <c r="C126" s="25"/>
      <c r="D126" s="55"/>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4.25" customHeight="1">
      <c r="A127" s="25"/>
      <c r="B127" s="25"/>
      <c r="C127" s="25"/>
      <c r="D127" s="55"/>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4.25" customHeight="1">
      <c r="A128" s="25"/>
      <c r="B128" s="25"/>
      <c r="C128" s="25"/>
      <c r="D128" s="55"/>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4.25" customHeight="1">
      <c r="A129" s="25"/>
      <c r="B129" s="25"/>
      <c r="C129" s="25"/>
      <c r="D129" s="55"/>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4.25" customHeight="1">
      <c r="A130" s="25"/>
      <c r="B130" s="25"/>
      <c r="C130" s="25"/>
      <c r="D130" s="55"/>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4.25" customHeight="1">
      <c r="A131" s="25"/>
      <c r="B131" s="25"/>
      <c r="C131" s="25"/>
      <c r="D131" s="55"/>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4.25" customHeight="1">
      <c r="A132" s="25"/>
      <c r="B132" s="25"/>
      <c r="C132" s="25"/>
      <c r="D132" s="55"/>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4.25" customHeight="1">
      <c r="A133" s="25"/>
      <c r="B133" s="25"/>
      <c r="C133" s="25"/>
      <c r="D133" s="55"/>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4.25" customHeight="1">
      <c r="A134" s="25"/>
      <c r="B134" s="25"/>
      <c r="C134" s="25"/>
      <c r="D134" s="55"/>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4.25" customHeight="1">
      <c r="A135" s="25"/>
      <c r="B135" s="25"/>
      <c r="C135" s="25"/>
      <c r="D135" s="55"/>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4.25" customHeight="1">
      <c r="A136" s="25"/>
      <c r="B136" s="25"/>
      <c r="C136" s="25"/>
      <c r="D136" s="55"/>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4.25" customHeight="1">
      <c r="A137" s="25"/>
      <c r="B137" s="25"/>
      <c r="C137" s="25"/>
      <c r="D137" s="55"/>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4.25" customHeight="1">
      <c r="A138" s="25"/>
      <c r="B138" s="25"/>
      <c r="C138" s="25"/>
      <c r="D138" s="55"/>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4.25" customHeight="1">
      <c r="A139" s="25"/>
      <c r="B139" s="25"/>
      <c r="C139" s="25"/>
      <c r="D139" s="55"/>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4.25" customHeight="1">
      <c r="A140" s="25"/>
      <c r="B140" s="25"/>
      <c r="C140" s="25"/>
      <c r="D140" s="55"/>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4.25" customHeight="1">
      <c r="A141" s="25"/>
      <c r="B141" s="25"/>
      <c r="C141" s="25"/>
      <c r="D141" s="55"/>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4.25" customHeight="1">
      <c r="A142" s="25"/>
      <c r="B142" s="25"/>
      <c r="C142" s="25"/>
      <c r="D142" s="55"/>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4.25" customHeight="1">
      <c r="A143" s="25"/>
      <c r="B143" s="25"/>
      <c r="C143" s="25"/>
      <c r="D143" s="55"/>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4.25" customHeight="1">
      <c r="A144" s="25"/>
      <c r="B144" s="25"/>
      <c r="C144" s="25"/>
      <c r="D144" s="55"/>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4.25" customHeight="1">
      <c r="A145" s="25"/>
      <c r="B145" s="25"/>
      <c r="C145" s="25"/>
      <c r="D145" s="55"/>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4.25" customHeight="1">
      <c r="A146" s="25"/>
      <c r="B146" s="25"/>
      <c r="C146" s="25"/>
      <c r="D146" s="55"/>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4.25" customHeight="1">
      <c r="A147" s="25"/>
      <c r="B147" s="25"/>
      <c r="C147" s="25"/>
      <c r="D147" s="55"/>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4.25" customHeight="1">
      <c r="A148" s="25"/>
      <c r="B148" s="25"/>
      <c r="C148" s="25"/>
      <c r="D148" s="55"/>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4.25" customHeight="1">
      <c r="A149" s="25"/>
      <c r="B149" s="25"/>
      <c r="C149" s="25"/>
      <c r="D149" s="55"/>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4.25" customHeight="1">
      <c r="A150" s="25"/>
      <c r="B150" s="25"/>
      <c r="C150" s="25"/>
      <c r="D150" s="55"/>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4.25" customHeight="1">
      <c r="A151" s="25"/>
      <c r="B151" s="25"/>
      <c r="C151" s="25"/>
      <c r="D151" s="55"/>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4.25" customHeight="1">
      <c r="A152" s="25"/>
      <c r="B152" s="25"/>
      <c r="C152" s="25"/>
      <c r="D152" s="55"/>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4.25" customHeight="1">
      <c r="A153" s="25"/>
      <c r="B153" s="25"/>
      <c r="C153" s="25"/>
      <c r="D153" s="55"/>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4.25" customHeight="1">
      <c r="A154" s="25"/>
      <c r="B154" s="25"/>
      <c r="C154" s="25"/>
      <c r="D154" s="55"/>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4.25" customHeight="1">
      <c r="A155" s="25"/>
      <c r="B155" s="25"/>
      <c r="C155" s="25"/>
      <c r="D155" s="55"/>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4.25" customHeight="1">
      <c r="A156" s="25"/>
      <c r="B156" s="25"/>
      <c r="C156" s="25"/>
      <c r="D156" s="55"/>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4.25" customHeight="1">
      <c r="A157" s="25"/>
      <c r="B157" s="25"/>
      <c r="C157" s="25"/>
      <c r="D157" s="55"/>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4.25" customHeight="1">
      <c r="A158" s="25"/>
      <c r="B158" s="25"/>
      <c r="C158" s="25"/>
      <c r="D158" s="55"/>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4.25" customHeight="1">
      <c r="A159" s="25"/>
      <c r="B159" s="25"/>
      <c r="C159" s="25"/>
      <c r="D159" s="55"/>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4.25" customHeight="1">
      <c r="A160" s="25"/>
      <c r="B160" s="25"/>
      <c r="C160" s="25"/>
      <c r="D160" s="55"/>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4.25" customHeight="1">
      <c r="A161" s="25"/>
      <c r="B161" s="25"/>
      <c r="C161" s="25"/>
      <c r="D161" s="55"/>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4.25" customHeight="1">
      <c r="A162" s="25"/>
      <c r="B162" s="25"/>
      <c r="C162" s="25"/>
      <c r="D162" s="55"/>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4.25" customHeight="1">
      <c r="A163" s="25"/>
      <c r="B163" s="25"/>
      <c r="C163" s="25"/>
      <c r="D163" s="55"/>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4.25" customHeight="1">
      <c r="A164" s="25"/>
      <c r="B164" s="25"/>
      <c r="C164" s="25"/>
      <c r="D164" s="55"/>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4.25" customHeight="1">
      <c r="A165" s="25"/>
      <c r="B165" s="25"/>
      <c r="C165" s="25"/>
      <c r="D165" s="55"/>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4.25" customHeight="1">
      <c r="A166" s="25"/>
      <c r="B166" s="25"/>
      <c r="C166" s="25"/>
      <c r="D166" s="55"/>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4.25" customHeight="1">
      <c r="A167" s="25"/>
      <c r="B167" s="25"/>
      <c r="C167" s="25"/>
      <c r="D167" s="55"/>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4.25" customHeight="1">
      <c r="A168" s="25"/>
      <c r="B168" s="25"/>
      <c r="C168" s="25"/>
      <c r="D168" s="55"/>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4.25" customHeight="1">
      <c r="A169" s="25"/>
      <c r="B169" s="25"/>
      <c r="C169" s="25"/>
      <c r="D169" s="55"/>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4.25" customHeight="1">
      <c r="A170" s="25"/>
      <c r="B170" s="25"/>
      <c r="C170" s="25"/>
      <c r="D170" s="55"/>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4.25" customHeight="1">
      <c r="A171" s="25"/>
      <c r="B171" s="25"/>
      <c r="C171" s="25"/>
      <c r="D171" s="55"/>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4.25" customHeight="1">
      <c r="A172" s="25"/>
      <c r="B172" s="25"/>
      <c r="C172" s="25"/>
      <c r="D172" s="55"/>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4.25" customHeight="1">
      <c r="A173" s="25"/>
      <c r="B173" s="25"/>
      <c r="C173" s="25"/>
      <c r="D173" s="55"/>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4.25" customHeight="1">
      <c r="A174" s="25"/>
      <c r="B174" s="25"/>
      <c r="C174" s="25"/>
      <c r="D174" s="55"/>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4.25" customHeight="1">
      <c r="A175" s="25"/>
      <c r="B175" s="25"/>
      <c r="C175" s="25"/>
      <c r="D175" s="55"/>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4.25" customHeight="1">
      <c r="A176" s="25"/>
      <c r="B176" s="25"/>
      <c r="C176" s="25"/>
      <c r="D176" s="55"/>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4.25" customHeight="1">
      <c r="A177" s="25"/>
      <c r="B177" s="25"/>
      <c r="C177" s="25"/>
      <c r="D177" s="55"/>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4.25" customHeight="1">
      <c r="A178" s="25"/>
      <c r="B178" s="25"/>
      <c r="C178" s="25"/>
      <c r="D178" s="55"/>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4.25" customHeight="1">
      <c r="A179" s="25"/>
      <c r="B179" s="25"/>
      <c r="C179" s="25"/>
      <c r="D179" s="55"/>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4.25" customHeight="1">
      <c r="A180" s="25"/>
      <c r="B180" s="25"/>
      <c r="C180" s="25"/>
      <c r="D180" s="55"/>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4.25" customHeight="1">
      <c r="A181" s="25"/>
      <c r="B181" s="25"/>
      <c r="C181" s="25"/>
      <c r="D181" s="55"/>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4.25" customHeight="1">
      <c r="A182" s="25"/>
      <c r="B182" s="25"/>
      <c r="C182" s="25"/>
      <c r="D182" s="55"/>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4.25" customHeight="1">
      <c r="A183" s="25"/>
      <c r="B183" s="25"/>
      <c r="C183" s="25"/>
      <c r="D183" s="55"/>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4.25" customHeight="1">
      <c r="A184" s="25"/>
      <c r="B184" s="25"/>
      <c r="C184" s="25"/>
      <c r="D184" s="55"/>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4.25" customHeight="1">
      <c r="A185" s="25"/>
      <c r="B185" s="25"/>
      <c r="C185" s="25"/>
      <c r="D185" s="55"/>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4.25" customHeight="1">
      <c r="A186" s="25"/>
      <c r="B186" s="25"/>
      <c r="C186" s="25"/>
      <c r="D186" s="55"/>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4.25" customHeight="1">
      <c r="A187" s="25"/>
      <c r="B187" s="25"/>
      <c r="C187" s="25"/>
      <c r="D187" s="55"/>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4.25" customHeight="1">
      <c r="A188" s="25"/>
      <c r="B188" s="25"/>
      <c r="C188" s="25"/>
      <c r="D188" s="55"/>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4.25" customHeight="1">
      <c r="A189" s="25"/>
      <c r="B189" s="25"/>
      <c r="C189" s="25"/>
      <c r="D189" s="55"/>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4.25" customHeight="1">
      <c r="A190" s="25"/>
      <c r="B190" s="25"/>
      <c r="C190" s="25"/>
      <c r="D190" s="55"/>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4.25" customHeight="1">
      <c r="A191" s="25"/>
      <c r="B191" s="25"/>
      <c r="C191" s="25"/>
      <c r="D191" s="55"/>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4.25" customHeight="1">
      <c r="A192" s="25"/>
      <c r="B192" s="25"/>
      <c r="C192" s="25"/>
      <c r="D192" s="55"/>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4.25" customHeight="1">
      <c r="A193" s="25"/>
      <c r="B193" s="25"/>
      <c r="C193" s="25"/>
      <c r="D193" s="55"/>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4.25" customHeight="1">
      <c r="A194" s="25"/>
      <c r="B194" s="25"/>
      <c r="C194" s="25"/>
      <c r="D194" s="55"/>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4.25" customHeight="1">
      <c r="A195" s="25"/>
      <c r="B195" s="25"/>
      <c r="C195" s="25"/>
      <c r="D195" s="55"/>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4.25" customHeight="1">
      <c r="A196" s="25"/>
      <c r="B196" s="25"/>
      <c r="C196" s="25"/>
      <c r="D196" s="55"/>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4.25" customHeight="1">
      <c r="A197" s="25"/>
      <c r="B197" s="25"/>
      <c r="C197" s="25"/>
      <c r="D197" s="55"/>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4.25" customHeight="1">
      <c r="A198" s="25"/>
      <c r="B198" s="25"/>
      <c r="C198" s="25"/>
      <c r="D198" s="55"/>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4.25" customHeight="1">
      <c r="A199" s="25"/>
      <c r="B199" s="25"/>
      <c r="C199" s="25"/>
      <c r="D199" s="55"/>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4.25" customHeight="1">
      <c r="A200" s="25"/>
      <c r="B200" s="25"/>
      <c r="C200" s="25"/>
      <c r="D200" s="55"/>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4.25" customHeight="1">
      <c r="A201" s="25"/>
      <c r="B201" s="25"/>
      <c r="C201" s="25"/>
      <c r="D201" s="55"/>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4.25" customHeight="1">
      <c r="A202" s="25"/>
      <c r="B202" s="25"/>
      <c r="C202" s="25"/>
      <c r="D202" s="55"/>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4.25" customHeight="1">
      <c r="A203" s="25"/>
      <c r="B203" s="25"/>
      <c r="C203" s="25"/>
      <c r="D203" s="55"/>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4.25" customHeight="1">
      <c r="A204" s="25"/>
      <c r="B204" s="25"/>
      <c r="C204" s="25"/>
      <c r="D204" s="55"/>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4.25" customHeight="1">
      <c r="A205" s="25"/>
      <c r="B205" s="25"/>
      <c r="C205" s="25"/>
      <c r="D205" s="55"/>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4.25" customHeight="1">
      <c r="A206" s="25"/>
      <c r="B206" s="25"/>
      <c r="C206" s="25"/>
      <c r="D206" s="55"/>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4.25" customHeight="1">
      <c r="A207" s="25"/>
      <c r="B207" s="25"/>
      <c r="C207" s="25"/>
      <c r="D207" s="55"/>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4.25" customHeight="1">
      <c r="A208" s="25"/>
      <c r="B208" s="25"/>
      <c r="C208" s="25"/>
      <c r="D208" s="55"/>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4.25" customHeight="1">
      <c r="A209" s="25"/>
      <c r="B209" s="25"/>
      <c r="C209" s="25"/>
      <c r="D209" s="55"/>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4.25" customHeight="1">
      <c r="A210" s="25"/>
      <c r="B210" s="25"/>
      <c r="C210" s="25"/>
      <c r="D210" s="55"/>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4.25" customHeight="1">
      <c r="A211" s="25"/>
      <c r="B211" s="25"/>
      <c r="C211" s="25"/>
      <c r="D211" s="55"/>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4.25" customHeight="1">
      <c r="A212" s="25"/>
      <c r="B212" s="25"/>
      <c r="C212" s="25"/>
      <c r="D212" s="55"/>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4.25" customHeight="1">
      <c r="A213" s="25"/>
      <c r="B213" s="25"/>
      <c r="C213" s="25"/>
      <c r="D213" s="55"/>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4.25" customHeight="1">
      <c r="A214" s="25"/>
      <c r="B214" s="25"/>
      <c r="C214" s="25"/>
      <c r="D214" s="55"/>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4.25" customHeight="1">
      <c r="A215" s="25"/>
      <c r="B215" s="25"/>
      <c r="C215" s="25"/>
      <c r="D215" s="55"/>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4.25" customHeight="1">
      <c r="A216" s="25"/>
      <c r="B216" s="25"/>
      <c r="C216" s="25"/>
      <c r="D216" s="55"/>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4.25" customHeight="1">
      <c r="A217" s="25"/>
      <c r="B217" s="25"/>
      <c r="C217" s="25"/>
      <c r="D217" s="55"/>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4.25" customHeight="1">
      <c r="A218" s="25"/>
      <c r="B218" s="25"/>
      <c r="C218" s="25"/>
      <c r="D218" s="55"/>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4.25" customHeight="1">
      <c r="A219" s="25"/>
      <c r="B219" s="25"/>
      <c r="C219" s="25"/>
      <c r="D219" s="55"/>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4.25" customHeight="1">
      <c r="A220" s="25"/>
      <c r="B220" s="25"/>
      <c r="C220" s="25"/>
      <c r="D220" s="55"/>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4.25" customHeight="1"/>
    <row r="224" spans="1:2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L1"/>
    <mergeCell ref="A15:D15"/>
    <mergeCell ref="F17:G17"/>
    <mergeCell ref="B22:B26"/>
    <mergeCell ref="J4:L4"/>
    <mergeCell ref="F21:H21"/>
    <mergeCell ref="J3:L3"/>
    <mergeCell ref="J21:L21"/>
    <mergeCell ref="B16:D16"/>
    <mergeCell ref="F3:G3"/>
    <mergeCell ref="F22:H26"/>
    <mergeCell ref="A2:L2"/>
    <mergeCell ref="F19:H19"/>
    <mergeCell ref="D22:D26"/>
    <mergeCell ref="J22:L26"/>
  </mergeCells>
  <conditionalFormatting sqref="B19 D19 F19">
    <cfRule type="expression" dxfId="31" priority="1">
      <formula>LEN(TRIM(B19))=0</formula>
    </cfRule>
  </conditionalFormatting>
  <conditionalFormatting sqref="B22 D22 F22:G22">
    <cfRule type="expression" dxfId="30" priority="2">
      <formula>LEN(TRIM(B22))=0</formula>
    </cfRule>
  </conditionalFormatting>
  <conditionalFormatting sqref="D3:D5">
    <cfRule type="expression" dxfId="29" priority="3">
      <formula>LEN(TRIM(D3))=0</formula>
    </cfRule>
  </conditionalFormatting>
  <conditionalFormatting sqref="F16">
    <cfRule type="cellIs" dxfId="28" priority="4" operator="lessThan">
      <formula>10</formula>
    </cfRule>
    <cfRule type="cellIs" dxfId="27" priority="5" operator="greaterThanOrEqual">
      <formula>10</formula>
    </cfRule>
  </conditionalFormatting>
  <conditionalFormatting sqref="G7:L14">
    <cfRule type="expression" dxfId="26" priority="6">
      <formula>LEN(TRIM(G7))=0</formula>
    </cfRule>
  </conditionalFormatting>
  <conditionalFormatting sqref="H3">
    <cfRule type="expression" dxfId="25" priority="7">
      <formula>LEN(TRIM(H3))=0</formula>
    </cfRule>
  </conditionalFormatting>
  <conditionalFormatting sqref="J22">
    <cfRule type="expression" dxfId="24" priority="8">
      <formula>LEN(TRIM(J22))=0</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showGridLines="0" workbookViewId="0"/>
  </sheetViews>
  <sheetFormatPr baseColWidth="10" defaultColWidth="12.625" defaultRowHeight="15" customHeight="1"/>
  <cols>
    <col min="1" max="1" width="4.75" customWidth="1"/>
    <col min="2" max="2" width="42.875" customWidth="1"/>
    <col min="3" max="3" width="1.25" customWidth="1"/>
    <col min="4" max="4" width="43.25" customWidth="1"/>
    <col min="5" max="5" width="1.25" customWidth="1"/>
    <col min="6" max="7" width="9.125" customWidth="1"/>
    <col min="8" max="8" width="28.875" customWidth="1"/>
    <col min="9" max="9" width="9.125" customWidth="1"/>
    <col min="10" max="10" width="28.875" customWidth="1"/>
    <col min="11" max="11" width="9.125" customWidth="1"/>
    <col min="12" max="12" width="28.875" customWidth="1"/>
  </cols>
  <sheetData>
    <row r="1" spans="1:27" ht="39" customHeight="1">
      <c r="A1" s="100" t="s">
        <v>40</v>
      </c>
      <c r="B1" s="92"/>
      <c r="C1" s="92"/>
      <c r="D1" s="92"/>
      <c r="E1" s="92"/>
      <c r="F1" s="92"/>
      <c r="G1" s="92"/>
      <c r="H1" s="92"/>
      <c r="I1" s="92"/>
      <c r="J1" s="92"/>
      <c r="K1" s="92"/>
      <c r="L1" s="92"/>
      <c r="M1" s="17"/>
      <c r="N1" s="17"/>
      <c r="O1" s="17"/>
      <c r="P1" s="17"/>
      <c r="Q1" s="17"/>
      <c r="R1" s="17"/>
      <c r="S1" s="17"/>
      <c r="T1" s="17"/>
      <c r="U1" s="17"/>
      <c r="V1" s="17"/>
      <c r="W1" s="17"/>
      <c r="X1" s="17"/>
      <c r="Y1" s="17"/>
      <c r="Z1" s="17"/>
      <c r="AA1" s="17"/>
    </row>
    <row r="2" spans="1:27" ht="63" customHeight="1">
      <c r="A2" s="97" t="s">
        <v>41</v>
      </c>
      <c r="B2" s="92"/>
      <c r="C2" s="92"/>
      <c r="D2" s="92"/>
      <c r="E2" s="92"/>
      <c r="F2" s="92"/>
      <c r="G2" s="92"/>
      <c r="H2" s="92"/>
      <c r="I2" s="92"/>
      <c r="J2" s="92"/>
      <c r="K2" s="92"/>
      <c r="L2" s="92"/>
      <c r="M2" s="17"/>
      <c r="N2" s="17"/>
      <c r="O2" s="17"/>
      <c r="P2" s="17"/>
      <c r="Q2" s="17"/>
      <c r="R2" s="17"/>
      <c r="S2" s="17"/>
      <c r="T2" s="17"/>
      <c r="U2" s="17"/>
      <c r="V2" s="17"/>
      <c r="W2" s="17"/>
      <c r="X2" s="17"/>
      <c r="Y2" s="17"/>
      <c r="Z2" s="17"/>
      <c r="AA2" s="17"/>
    </row>
    <row r="3" spans="1:27" ht="14.25" customHeight="1">
      <c r="A3" s="18"/>
      <c r="B3" s="19" t="s">
        <v>42</v>
      </c>
      <c r="C3" s="20"/>
      <c r="D3" s="21" t="str">
        <f>IF('Ordre de passage'!C11="","",'Ordre de passage'!C11)</f>
        <v>DELGADO DA CRUZ</v>
      </c>
      <c r="E3" s="19"/>
      <c r="F3" s="95" t="s">
        <v>43</v>
      </c>
      <c r="G3" s="92"/>
      <c r="H3" s="22">
        <f>IF('Ordre de passage'!D4="","",'Ordre de passage'!D4)</f>
        <v>46178</v>
      </c>
      <c r="I3" s="1"/>
      <c r="J3" s="105" t="s">
        <v>44</v>
      </c>
      <c r="K3" s="92"/>
      <c r="L3" s="92"/>
      <c r="M3" s="17"/>
      <c r="N3" s="17"/>
      <c r="O3" s="17"/>
      <c r="P3" s="17"/>
      <c r="Q3" s="17"/>
      <c r="R3" s="17"/>
      <c r="S3" s="17"/>
      <c r="T3" s="17"/>
      <c r="U3" s="17"/>
      <c r="V3" s="17"/>
      <c r="W3" s="17"/>
      <c r="X3" s="17"/>
      <c r="Y3" s="17"/>
      <c r="Z3" s="17"/>
      <c r="AA3" s="17"/>
    </row>
    <row r="4" spans="1:27" ht="14.25" customHeight="1">
      <c r="A4" s="18"/>
      <c r="B4" s="19" t="s">
        <v>45</v>
      </c>
      <c r="C4" s="23"/>
      <c r="D4" s="21" t="str">
        <f>IF('Ordre de passage'!D11="","",'Ordre de passage'!D11)</f>
        <v xml:space="preserve"> Francisco</v>
      </c>
      <c r="E4" s="18"/>
      <c r="F4" s="18"/>
      <c r="H4" s="24"/>
      <c r="I4" s="24"/>
      <c r="J4" s="103" t="s">
        <v>46</v>
      </c>
      <c r="K4" s="92"/>
      <c r="L4" s="92"/>
      <c r="M4" s="17"/>
      <c r="N4" s="17"/>
      <c r="O4" s="17"/>
      <c r="P4" s="17"/>
      <c r="Q4" s="17"/>
      <c r="R4" s="17"/>
      <c r="S4" s="17"/>
      <c r="T4" s="17"/>
      <c r="U4" s="17"/>
      <c r="V4" s="17"/>
      <c r="W4" s="17"/>
      <c r="X4" s="17"/>
      <c r="Y4" s="17"/>
      <c r="Z4" s="17"/>
      <c r="AA4" s="17"/>
    </row>
    <row r="5" spans="1:27" ht="14.25" customHeight="1">
      <c r="A5" s="25"/>
      <c r="B5" s="19" t="s">
        <v>47</v>
      </c>
      <c r="C5" s="20"/>
      <c r="D5" s="21" t="str">
        <f>IF('Ordre de passage'!B11="","",'Ordre de passage'!B11)</f>
        <v>12:00 - 13:00</v>
      </c>
      <c r="E5" s="26"/>
      <c r="F5" s="26"/>
      <c r="G5" s="26"/>
      <c r="H5" s="26"/>
      <c r="I5" s="1"/>
      <c r="J5" s="17"/>
      <c r="K5" s="17"/>
      <c r="L5" s="17"/>
      <c r="M5" s="17"/>
      <c r="N5" s="17"/>
      <c r="O5" s="17"/>
      <c r="P5" s="17"/>
      <c r="Q5" s="17"/>
      <c r="R5" s="17"/>
      <c r="S5" s="17"/>
      <c r="T5" s="17"/>
      <c r="U5" s="17"/>
      <c r="V5" s="17"/>
      <c r="W5" s="17"/>
      <c r="X5" s="17"/>
      <c r="Y5" s="17"/>
      <c r="Z5" s="17"/>
      <c r="AA5" s="17"/>
    </row>
    <row r="6" spans="1:27" ht="48.75" customHeight="1">
      <c r="A6" s="27"/>
      <c r="B6" s="28" t="s">
        <v>48</v>
      </c>
      <c r="C6" s="28"/>
      <c r="D6" s="28" t="s">
        <v>49</v>
      </c>
      <c r="E6" s="28"/>
      <c r="F6" s="29" t="s">
        <v>50</v>
      </c>
      <c r="G6" s="30" t="s">
        <v>51</v>
      </c>
      <c r="H6" s="30" t="s">
        <v>52</v>
      </c>
      <c r="I6" s="30" t="s">
        <v>53</v>
      </c>
      <c r="J6" s="30" t="s">
        <v>54</v>
      </c>
      <c r="K6" s="30" t="s">
        <v>55</v>
      </c>
      <c r="L6" s="30" t="s">
        <v>56</v>
      </c>
      <c r="M6" s="17"/>
      <c r="N6" s="17"/>
      <c r="O6" s="17"/>
      <c r="P6" s="17"/>
      <c r="Q6" s="17"/>
      <c r="R6" s="17"/>
      <c r="S6" s="17"/>
      <c r="T6" s="17"/>
      <c r="U6" s="17"/>
      <c r="V6" s="17"/>
      <c r="W6" s="17"/>
      <c r="X6" s="17"/>
      <c r="Y6" s="17"/>
      <c r="Z6" s="17"/>
      <c r="AA6" s="17"/>
    </row>
    <row r="7" spans="1:27" ht="60" customHeight="1">
      <c r="A7" s="31" t="s">
        <v>57</v>
      </c>
      <c r="B7" s="32" t="s">
        <v>58</v>
      </c>
      <c r="C7" s="33"/>
      <c r="D7" s="34" t="s">
        <v>59</v>
      </c>
      <c r="E7" s="35"/>
      <c r="F7" s="36">
        <v>2</v>
      </c>
      <c r="G7" s="36">
        <v>1.5</v>
      </c>
      <c r="H7" s="37" t="s">
        <v>124</v>
      </c>
      <c r="I7" s="36">
        <v>1.5</v>
      </c>
      <c r="J7" s="37" t="s">
        <v>125</v>
      </c>
      <c r="K7" s="36"/>
      <c r="L7" s="37"/>
      <c r="M7" s="17"/>
      <c r="N7" s="17"/>
      <c r="O7" s="17"/>
      <c r="P7" s="17"/>
      <c r="Q7" s="17"/>
      <c r="R7" s="17"/>
      <c r="S7" s="17"/>
      <c r="T7" s="17"/>
      <c r="U7" s="17"/>
      <c r="V7" s="17"/>
      <c r="W7" s="17"/>
      <c r="X7" s="17"/>
      <c r="Y7" s="17"/>
      <c r="Z7" s="17"/>
      <c r="AA7" s="17"/>
    </row>
    <row r="8" spans="1:27" ht="72" customHeight="1">
      <c r="A8" s="31" t="s">
        <v>62</v>
      </c>
      <c r="B8" s="38" t="s">
        <v>63</v>
      </c>
      <c r="C8" s="39"/>
      <c r="D8" s="40" t="s">
        <v>64</v>
      </c>
      <c r="E8" s="35"/>
      <c r="F8" s="36">
        <v>2</v>
      </c>
      <c r="G8" s="36">
        <v>1.5</v>
      </c>
      <c r="H8" s="37" t="s">
        <v>126</v>
      </c>
      <c r="I8" s="36">
        <v>1.5</v>
      </c>
      <c r="J8" s="37" t="s">
        <v>127</v>
      </c>
      <c r="K8" s="36"/>
      <c r="L8" s="37"/>
      <c r="M8" s="17"/>
      <c r="N8" s="17"/>
      <c r="O8" s="17"/>
      <c r="P8" s="17"/>
      <c r="Q8" s="17"/>
      <c r="R8" s="17"/>
      <c r="S8" s="17"/>
      <c r="T8" s="17"/>
      <c r="U8" s="17"/>
      <c r="V8" s="17"/>
      <c r="W8" s="17"/>
      <c r="X8" s="17"/>
      <c r="Y8" s="17"/>
      <c r="Z8" s="17"/>
      <c r="AA8" s="17"/>
    </row>
    <row r="9" spans="1:27" ht="73.5" customHeight="1">
      <c r="A9" s="31" t="s">
        <v>67</v>
      </c>
      <c r="B9" s="38" t="s">
        <v>68</v>
      </c>
      <c r="C9" s="39"/>
      <c r="D9" s="40" t="s">
        <v>69</v>
      </c>
      <c r="E9" s="35"/>
      <c r="F9" s="36">
        <v>2</v>
      </c>
      <c r="G9" s="36">
        <v>1.5</v>
      </c>
      <c r="H9" s="37" t="s">
        <v>128</v>
      </c>
      <c r="I9" s="36">
        <v>1.5</v>
      </c>
      <c r="J9" s="37" t="s">
        <v>129</v>
      </c>
      <c r="K9" s="36"/>
      <c r="L9" s="37"/>
      <c r="M9" s="17"/>
      <c r="N9" s="17"/>
      <c r="O9" s="17"/>
      <c r="P9" s="17"/>
      <c r="Q9" s="17"/>
      <c r="R9" s="17"/>
      <c r="S9" s="17"/>
      <c r="T9" s="17"/>
      <c r="U9" s="17"/>
      <c r="V9" s="17"/>
      <c r="W9" s="17"/>
      <c r="X9" s="17"/>
      <c r="Y9" s="17"/>
      <c r="Z9" s="17"/>
      <c r="AA9" s="17"/>
    </row>
    <row r="10" spans="1:27" ht="71.25" customHeight="1">
      <c r="A10" s="31" t="s">
        <v>72</v>
      </c>
      <c r="B10" s="38" t="s">
        <v>73</v>
      </c>
      <c r="C10" s="39"/>
      <c r="D10" s="40" t="s">
        <v>74</v>
      </c>
      <c r="E10" s="35"/>
      <c r="F10" s="36">
        <v>2</v>
      </c>
      <c r="G10" s="36">
        <v>1.5</v>
      </c>
      <c r="H10" s="37" t="s">
        <v>130</v>
      </c>
      <c r="I10" s="36">
        <v>1.5</v>
      </c>
      <c r="J10" s="37" t="s">
        <v>131</v>
      </c>
      <c r="K10" s="36"/>
      <c r="L10" s="37"/>
      <c r="M10" s="17"/>
      <c r="N10" s="17"/>
      <c r="O10" s="17"/>
      <c r="P10" s="17"/>
      <c r="Q10" s="17"/>
      <c r="R10" s="17"/>
      <c r="S10" s="17"/>
      <c r="T10" s="17"/>
      <c r="U10" s="17"/>
      <c r="V10" s="17"/>
      <c r="W10" s="17"/>
      <c r="X10" s="17"/>
      <c r="Y10" s="17"/>
      <c r="Z10" s="17"/>
      <c r="AA10" s="17"/>
    </row>
    <row r="11" spans="1:27" ht="72" customHeight="1">
      <c r="A11" s="31" t="s">
        <v>77</v>
      </c>
      <c r="B11" s="38" t="s">
        <v>78</v>
      </c>
      <c r="C11" s="39"/>
      <c r="D11" s="40" t="s">
        <v>79</v>
      </c>
      <c r="E11" s="35"/>
      <c r="F11" s="36">
        <v>2</v>
      </c>
      <c r="G11" s="36">
        <v>1.5</v>
      </c>
      <c r="H11" s="37" t="s">
        <v>132</v>
      </c>
      <c r="I11" s="36">
        <v>1.5</v>
      </c>
      <c r="J11" s="37" t="s">
        <v>133</v>
      </c>
      <c r="K11" s="36"/>
      <c r="L11" s="37"/>
      <c r="M11" s="17"/>
      <c r="N11" s="17"/>
      <c r="O11" s="17"/>
      <c r="P11" s="17"/>
      <c r="Q11" s="17"/>
      <c r="R11" s="17"/>
      <c r="S11" s="17"/>
      <c r="T11" s="17"/>
      <c r="U11" s="17"/>
      <c r="V11" s="17"/>
      <c r="W11" s="17"/>
      <c r="X11" s="17"/>
      <c r="Y11" s="17"/>
      <c r="Z11" s="17"/>
      <c r="AA11" s="17"/>
    </row>
    <row r="12" spans="1:27" ht="82.5" customHeight="1">
      <c r="A12" s="41" t="s">
        <v>82</v>
      </c>
      <c r="B12" s="38" t="s">
        <v>83</v>
      </c>
      <c r="C12" s="39"/>
      <c r="D12" s="40" t="s">
        <v>84</v>
      </c>
      <c r="E12" s="35"/>
      <c r="F12" s="36">
        <v>2</v>
      </c>
      <c r="G12" s="36">
        <v>1.5</v>
      </c>
      <c r="H12" s="37" t="s">
        <v>134</v>
      </c>
      <c r="I12" s="36">
        <v>1.5</v>
      </c>
      <c r="J12" s="37" t="s">
        <v>135</v>
      </c>
      <c r="K12" s="36"/>
      <c r="L12" s="37"/>
      <c r="M12" s="17"/>
      <c r="N12" s="17"/>
      <c r="O12" s="17"/>
      <c r="P12" s="17"/>
      <c r="Q12" s="17"/>
      <c r="R12" s="17"/>
      <c r="S12" s="17"/>
      <c r="T12" s="17"/>
      <c r="U12" s="17"/>
      <c r="V12" s="17"/>
      <c r="W12" s="17"/>
      <c r="X12" s="17"/>
      <c r="Y12" s="17"/>
      <c r="Z12" s="17"/>
      <c r="AA12" s="17"/>
    </row>
    <row r="13" spans="1:27" ht="83.25" customHeight="1">
      <c r="A13" s="42" t="s">
        <v>87</v>
      </c>
      <c r="B13" s="38" t="s">
        <v>88</v>
      </c>
      <c r="C13" s="39"/>
      <c r="D13" s="40" t="s">
        <v>89</v>
      </c>
      <c r="E13" s="43"/>
      <c r="F13" s="36">
        <v>5</v>
      </c>
      <c r="G13" s="36">
        <v>3</v>
      </c>
      <c r="H13" s="37" t="s">
        <v>136</v>
      </c>
      <c r="I13" s="36">
        <v>3</v>
      </c>
      <c r="J13" s="37" t="s">
        <v>137</v>
      </c>
      <c r="K13" s="36"/>
      <c r="L13" s="37"/>
      <c r="M13" s="17"/>
      <c r="N13" s="17"/>
      <c r="O13" s="17"/>
      <c r="P13" s="17"/>
      <c r="Q13" s="17"/>
      <c r="R13" s="17"/>
      <c r="S13" s="17"/>
      <c r="T13" s="17"/>
      <c r="U13" s="17"/>
      <c r="V13" s="17"/>
      <c r="W13" s="17"/>
      <c r="X13" s="17"/>
      <c r="Y13" s="17"/>
      <c r="Z13" s="17"/>
      <c r="AA13" s="17"/>
    </row>
    <row r="14" spans="1:27" ht="39.75" customHeight="1">
      <c r="A14" s="42" t="s">
        <v>92</v>
      </c>
      <c r="B14" s="38" t="s">
        <v>93</v>
      </c>
      <c r="C14" s="39"/>
      <c r="D14" s="40" t="s">
        <v>94</v>
      </c>
      <c r="E14" s="43"/>
      <c r="F14" s="36">
        <v>3</v>
      </c>
      <c r="G14" s="36">
        <v>3</v>
      </c>
      <c r="H14" s="37" t="s">
        <v>138</v>
      </c>
      <c r="I14" s="36">
        <v>3</v>
      </c>
      <c r="J14" s="37" t="s">
        <v>139</v>
      </c>
      <c r="K14" s="36"/>
      <c r="L14" s="37"/>
      <c r="M14" s="17"/>
      <c r="N14" s="17"/>
      <c r="O14" s="17"/>
      <c r="P14" s="17"/>
      <c r="Q14" s="17"/>
      <c r="R14" s="17"/>
      <c r="S14" s="17"/>
      <c r="T14" s="17"/>
      <c r="U14" s="17"/>
      <c r="V14" s="17"/>
      <c r="W14" s="17"/>
      <c r="X14" s="17"/>
      <c r="Y14" s="17"/>
      <c r="Z14" s="17"/>
      <c r="AA14" s="17"/>
    </row>
    <row r="15" spans="1:27" ht="27.75" customHeight="1">
      <c r="A15" s="101" t="s">
        <v>97</v>
      </c>
      <c r="B15" s="92"/>
      <c r="C15" s="92"/>
      <c r="D15" s="92"/>
      <c r="E15" s="44"/>
      <c r="F15" s="45">
        <f>SUM(F7:F14)</f>
        <v>20</v>
      </c>
      <c r="G15" s="46">
        <f>SUM(G7:G14)</f>
        <v>15</v>
      </c>
      <c r="H15" s="17"/>
      <c r="I15" s="46">
        <f>SUM(I7:I14)</f>
        <v>15</v>
      </c>
      <c r="J15" s="17"/>
      <c r="K15" s="46">
        <f>SUM(K7:K14)</f>
        <v>0</v>
      </c>
      <c r="L15" s="17"/>
      <c r="M15" s="17"/>
      <c r="N15" s="17"/>
      <c r="O15" s="17"/>
      <c r="P15" s="17"/>
      <c r="Q15" s="17"/>
      <c r="R15" s="17"/>
      <c r="S15" s="17"/>
      <c r="T15" s="17"/>
      <c r="U15" s="17"/>
      <c r="V15" s="17"/>
      <c r="W15" s="17"/>
      <c r="X15" s="17"/>
      <c r="Y15" s="17"/>
      <c r="Z15" s="17"/>
      <c r="AA15" s="17"/>
    </row>
    <row r="16" spans="1:27" ht="34.5" customHeight="1">
      <c r="A16" s="25"/>
      <c r="B16" s="98" t="s">
        <v>98</v>
      </c>
      <c r="C16" s="92"/>
      <c r="D16" s="92"/>
      <c r="E16" s="47"/>
      <c r="F16" s="48">
        <f>(G15+I15+K15)/2</f>
        <v>15</v>
      </c>
      <c r="G16" s="49"/>
      <c r="H16" s="49"/>
      <c r="I16" s="17"/>
      <c r="J16" s="17"/>
      <c r="K16" s="17"/>
      <c r="L16" s="17"/>
      <c r="M16" s="17"/>
      <c r="N16" s="17"/>
      <c r="O16" s="17"/>
      <c r="P16" s="17"/>
      <c r="Q16" s="17"/>
      <c r="R16" s="17"/>
      <c r="S16" s="17"/>
      <c r="T16" s="17"/>
      <c r="U16" s="17"/>
      <c r="V16" s="17"/>
      <c r="W16" s="17"/>
      <c r="X16" s="17"/>
      <c r="Y16" s="17"/>
      <c r="Z16" s="17"/>
      <c r="AA16" s="17"/>
    </row>
    <row r="17" spans="1:27" ht="24.75" customHeight="1">
      <c r="A17" s="25"/>
      <c r="C17" s="50"/>
      <c r="D17" s="50"/>
      <c r="E17" s="51"/>
      <c r="F17" s="102" t="s">
        <v>99</v>
      </c>
      <c r="G17" s="92"/>
      <c r="H17" s="49"/>
      <c r="I17" s="17"/>
      <c r="J17" s="17"/>
      <c r="K17" s="17"/>
      <c r="L17" s="17"/>
      <c r="M17" s="17"/>
      <c r="N17" s="17"/>
      <c r="O17" s="17"/>
      <c r="P17" s="17"/>
      <c r="Q17" s="17"/>
      <c r="R17" s="17"/>
      <c r="S17" s="17"/>
      <c r="T17" s="17"/>
      <c r="U17" s="17"/>
      <c r="V17" s="17"/>
      <c r="W17" s="17"/>
      <c r="X17" s="17"/>
      <c r="Y17" s="17"/>
      <c r="Z17" s="17"/>
      <c r="AA17" s="17"/>
    </row>
    <row r="18" spans="1:27" ht="27.75" customHeight="1">
      <c r="A18" s="25"/>
      <c r="B18" s="50" t="s">
        <v>1</v>
      </c>
      <c r="C18" s="50"/>
      <c r="G18" s="52"/>
      <c r="H18" s="52"/>
      <c r="I18" s="17"/>
      <c r="J18" s="17"/>
      <c r="K18" s="17"/>
      <c r="L18" s="17"/>
      <c r="M18" s="17"/>
      <c r="N18" s="17"/>
      <c r="O18" s="17"/>
      <c r="P18" s="17"/>
      <c r="Q18" s="17"/>
      <c r="R18" s="17"/>
      <c r="S18" s="17"/>
      <c r="T18" s="17"/>
      <c r="U18" s="17"/>
      <c r="V18" s="17"/>
      <c r="W18" s="17"/>
      <c r="X18" s="17"/>
      <c r="Y18" s="17"/>
      <c r="Z18" s="17"/>
      <c r="AA18" s="17"/>
    </row>
    <row r="19" spans="1:27" ht="27.75" customHeight="1">
      <c r="A19" s="25"/>
      <c r="B19" s="21" t="str">
        <f>'Ordre de passage'!F3</f>
        <v>Tom FOURNAISE</v>
      </c>
      <c r="D19" s="21" t="str">
        <f>'Ordre de passage'!G3</f>
        <v>Djody BENCHADI</v>
      </c>
      <c r="E19" s="21"/>
      <c r="F19" s="98">
        <f>'Ordre de passage'!H3</f>
        <v>0</v>
      </c>
      <c r="G19" s="92"/>
      <c r="H19" s="92"/>
      <c r="I19" s="17"/>
      <c r="J19" s="17"/>
      <c r="K19" s="17"/>
      <c r="L19" s="17"/>
      <c r="M19" s="17"/>
      <c r="N19" s="17"/>
      <c r="O19" s="17"/>
      <c r="P19" s="17"/>
      <c r="Q19" s="17"/>
      <c r="R19" s="17"/>
      <c r="S19" s="17"/>
      <c r="T19" s="17"/>
      <c r="U19" s="17"/>
      <c r="V19" s="17"/>
      <c r="W19" s="17"/>
      <c r="X19" s="17"/>
      <c r="Y19" s="17"/>
      <c r="Z19" s="17"/>
      <c r="AA19" s="17"/>
    </row>
    <row r="20" spans="1:27" ht="8.25" customHeight="1">
      <c r="A20" s="25"/>
      <c r="E20" s="53"/>
      <c r="F20" s="53"/>
      <c r="G20" s="53"/>
      <c r="H20" s="53"/>
      <c r="I20" s="17"/>
      <c r="J20" s="17"/>
      <c r="K20" s="17"/>
      <c r="L20" s="17"/>
      <c r="M20" s="17"/>
      <c r="N20" s="17"/>
      <c r="O20" s="17"/>
      <c r="P20" s="17"/>
      <c r="Q20" s="17"/>
      <c r="R20" s="17"/>
      <c r="S20" s="17"/>
      <c r="T20" s="17"/>
      <c r="U20" s="17"/>
      <c r="V20" s="17"/>
      <c r="W20" s="17"/>
      <c r="X20" s="17"/>
      <c r="Y20" s="17"/>
      <c r="Z20" s="17"/>
      <c r="AA20" s="17"/>
    </row>
    <row r="21" spans="1:27" ht="25.5" customHeight="1">
      <c r="A21" s="25"/>
      <c r="B21" s="54" t="s">
        <v>100</v>
      </c>
      <c r="C21" s="55"/>
      <c r="D21" s="54" t="s">
        <v>101</v>
      </c>
      <c r="E21" s="54"/>
      <c r="F21" s="104" t="s">
        <v>102</v>
      </c>
      <c r="G21" s="92"/>
      <c r="H21" s="92"/>
      <c r="I21" s="17"/>
      <c r="J21" s="104" t="s">
        <v>103</v>
      </c>
      <c r="K21" s="92"/>
      <c r="L21" s="92"/>
      <c r="M21" s="17"/>
      <c r="N21" s="17"/>
      <c r="O21" s="17"/>
      <c r="P21" s="17"/>
      <c r="Q21" s="17"/>
      <c r="R21" s="17"/>
      <c r="S21" s="17"/>
      <c r="T21" s="17"/>
      <c r="U21" s="17"/>
      <c r="V21" s="17"/>
      <c r="W21" s="17"/>
      <c r="X21" s="17"/>
      <c r="Y21" s="17"/>
      <c r="Z21" s="17"/>
      <c r="AA21" s="17"/>
    </row>
    <row r="22" spans="1:27" ht="25.5" customHeight="1">
      <c r="A22" s="25"/>
      <c r="B22" s="96" t="s">
        <v>140</v>
      </c>
      <c r="C22" s="50"/>
      <c r="D22" s="96" t="s">
        <v>141</v>
      </c>
      <c r="E22" s="50"/>
      <c r="F22" s="96"/>
      <c r="G22" s="92"/>
      <c r="H22" s="92"/>
      <c r="I22" s="17"/>
      <c r="J22" s="99">
        <f>IF('Ordre de passage'!D4="","",'Ordre de passage'!D4)</f>
        <v>46178</v>
      </c>
      <c r="K22" s="92"/>
      <c r="L22" s="92"/>
      <c r="M22" s="17"/>
      <c r="N22" s="17"/>
      <c r="O22" s="17"/>
      <c r="P22" s="17"/>
      <c r="Q22" s="17"/>
      <c r="R22" s="17"/>
      <c r="S22" s="17"/>
      <c r="T22" s="17"/>
      <c r="U22" s="17"/>
      <c r="V22" s="17"/>
      <c r="W22" s="17"/>
      <c r="X22" s="17"/>
      <c r="Y22" s="17"/>
      <c r="Z22" s="17"/>
      <c r="AA22" s="17"/>
    </row>
    <row r="23" spans="1:27" ht="14.25" customHeight="1">
      <c r="A23" s="25"/>
      <c r="B23" s="92"/>
      <c r="C23" s="55"/>
      <c r="D23" s="92"/>
      <c r="E23" s="53"/>
      <c r="F23" s="92"/>
      <c r="G23" s="92"/>
      <c r="H23" s="92"/>
      <c r="I23" s="17"/>
      <c r="J23" s="92"/>
      <c r="K23" s="92"/>
      <c r="L23" s="92"/>
      <c r="M23" s="17"/>
      <c r="N23" s="17"/>
      <c r="O23" s="17"/>
      <c r="P23" s="17"/>
      <c r="Q23" s="17"/>
      <c r="R23" s="17"/>
      <c r="S23" s="17"/>
      <c r="T23" s="17"/>
      <c r="U23" s="17"/>
      <c r="V23" s="17"/>
      <c r="W23" s="17"/>
      <c r="X23" s="17"/>
      <c r="Y23" s="17"/>
      <c r="Z23" s="17"/>
      <c r="AA23" s="17"/>
    </row>
    <row r="24" spans="1:27" ht="14.25" customHeight="1">
      <c r="A24" s="25"/>
      <c r="B24" s="92"/>
      <c r="C24" s="25"/>
      <c r="D24" s="92"/>
      <c r="E24" s="53"/>
      <c r="F24" s="92"/>
      <c r="G24" s="92"/>
      <c r="H24" s="92"/>
      <c r="I24" s="17"/>
      <c r="J24" s="92"/>
      <c r="K24" s="92"/>
      <c r="L24" s="92"/>
      <c r="M24" s="17"/>
      <c r="N24" s="17"/>
      <c r="O24" s="17"/>
      <c r="P24" s="17"/>
      <c r="Q24" s="17"/>
      <c r="R24" s="17"/>
      <c r="S24" s="17"/>
      <c r="T24" s="17"/>
      <c r="U24" s="17"/>
      <c r="V24" s="17"/>
      <c r="W24" s="17"/>
      <c r="X24" s="17"/>
      <c r="Y24" s="17"/>
      <c r="Z24" s="17"/>
      <c r="AA24" s="17"/>
    </row>
    <row r="25" spans="1:27" ht="14.25" customHeight="1">
      <c r="A25" s="25"/>
      <c r="B25" s="92"/>
      <c r="C25" s="25"/>
      <c r="D25" s="92"/>
      <c r="E25" s="53"/>
      <c r="F25" s="92"/>
      <c r="G25" s="92"/>
      <c r="H25" s="92"/>
      <c r="I25" s="17"/>
      <c r="J25" s="92"/>
      <c r="K25" s="92"/>
      <c r="L25" s="92"/>
      <c r="M25" s="17"/>
      <c r="N25" s="17"/>
      <c r="O25" s="17"/>
      <c r="P25" s="17"/>
      <c r="Q25" s="17"/>
      <c r="R25" s="17"/>
      <c r="S25" s="17"/>
      <c r="T25" s="17"/>
      <c r="U25" s="17"/>
      <c r="V25" s="17"/>
      <c r="W25" s="17"/>
      <c r="X25" s="17"/>
      <c r="Y25" s="17"/>
      <c r="Z25" s="17"/>
      <c r="AA25" s="17"/>
    </row>
    <row r="26" spans="1:27" ht="14.25" customHeight="1">
      <c r="A26" s="25"/>
      <c r="B26" s="92"/>
      <c r="C26" s="25"/>
      <c r="D26" s="92"/>
      <c r="E26" s="53"/>
      <c r="F26" s="92"/>
      <c r="G26" s="92"/>
      <c r="H26" s="92"/>
      <c r="I26" s="17"/>
      <c r="J26" s="92"/>
      <c r="K26" s="92"/>
      <c r="L26" s="92"/>
      <c r="M26" s="17"/>
      <c r="N26" s="17"/>
      <c r="O26" s="17"/>
      <c r="P26" s="17"/>
      <c r="Q26" s="17"/>
      <c r="R26" s="17"/>
      <c r="S26" s="17"/>
      <c r="T26" s="17"/>
      <c r="U26" s="17"/>
      <c r="V26" s="17"/>
      <c r="W26" s="17"/>
      <c r="X26" s="17"/>
      <c r="Y26" s="17"/>
      <c r="Z26" s="17"/>
      <c r="AA26" s="17"/>
    </row>
    <row r="27" spans="1:27" ht="14.25" customHeight="1">
      <c r="A27" s="25"/>
      <c r="B27" s="25"/>
      <c r="C27" s="25"/>
      <c r="D27" s="55"/>
      <c r="E27" s="17"/>
      <c r="F27" s="17"/>
      <c r="G27" s="17"/>
      <c r="H27" s="17"/>
      <c r="I27" s="17"/>
      <c r="J27" s="17"/>
      <c r="K27" s="17"/>
      <c r="L27" s="17"/>
      <c r="M27" s="17"/>
      <c r="N27" s="17"/>
      <c r="O27" s="17"/>
      <c r="P27" s="17"/>
      <c r="Q27" s="17"/>
      <c r="R27" s="17"/>
      <c r="S27" s="17"/>
      <c r="T27" s="17"/>
      <c r="U27" s="17"/>
      <c r="V27" s="17"/>
      <c r="W27" s="17"/>
      <c r="X27" s="17"/>
      <c r="Y27" s="17"/>
      <c r="Z27" s="17"/>
      <c r="AA27" s="17"/>
    </row>
    <row r="28" spans="1:27" ht="14.25" customHeight="1">
      <c r="A28" s="25"/>
      <c r="B28" s="25"/>
      <c r="C28" s="25"/>
      <c r="D28" s="55"/>
      <c r="E28" s="17"/>
      <c r="F28" s="17"/>
      <c r="G28" s="17"/>
      <c r="H28" s="17"/>
      <c r="I28" s="17"/>
      <c r="J28" s="17"/>
      <c r="K28" s="17"/>
      <c r="L28" s="17"/>
      <c r="M28" s="17"/>
      <c r="N28" s="17"/>
      <c r="O28" s="17"/>
      <c r="P28" s="17"/>
      <c r="Q28" s="17"/>
      <c r="R28" s="17"/>
      <c r="S28" s="17"/>
      <c r="T28" s="17"/>
      <c r="U28" s="17"/>
      <c r="V28" s="17"/>
      <c r="W28" s="17"/>
      <c r="X28" s="17"/>
      <c r="Y28" s="17"/>
      <c r="Z28" s="17"/>
      <c r="AA28" s="17"/>
    </row>
    <row r="29" spans="1:27" ht="14.25" customHeight="1">
      <c r="A29" s="25"/>
      <c r="B29" s="25"/>
      <c r="C29" s="25"/>
      <c r="D29" s="55"/>
      <c r="E29" s="17"/>
      <c r="F29" s="17"/>
      <c r="G29" s="17"/>
      <c r="H29" s="17"/>
      <c r="I29" s="17"/>
      <c r="J29" s="17"/>
      <c r="K29" s="17"/>
      <c r="L29" s="17"/>
      <c r="M29" s="17"/>
      <c r="N29" s="17"/>
      <c r="O29" s="17"/>
      <c r="P29" s="17"/>
      <c r="Q29" s="17"/>
      <c r="R29" s="17"/>
      <c r="S29" s="17"/>
      <c r="T29" s="17"/>
      <c r="U29" s="17"/>
      <c r="V29" s="17"/>
      <c r="W29" s="17"/>
      <c r="X29" s="17"/>
      <c r="Y29" s="17"/>
      <c r="Z29" s="17"/>
      <c r="AA29" s="17"/>
    </row>
    <row r="30" spans="1:27" ht="14.25" customHeight="1">
      <c r="A30" s="25"/>
      <c r="B30" s="25"/>
      <c r="C30" s="25"/>
      <c r="D30" s="55"/>
      <c r="E30" s="17"/>
      <c r="F30" s="17"/>
      <c r="G30" s="17"/>
      <c r="H30" s="17"/>
      <c r="I30" s="17"/>
      <c r="J30" s="17"/>
      <c r="K30" s="17"/>
      <c r="L30" s="17"/>
      <c r="M30" s="17"/>
      <c r="N30" s="17"/>
      <c r="O30" s="17"/>
      <c r="P30" s="17"/>
      <c r="Q30" s="17"/>
      <c r="R30" s="17"/>
      <c r="S30" s="17"/>
      <c r="T30" s="17"/>
      <c r="U30" s="17"/>
      <c r="V30" s="17"/>
      <c r="W30" s="17"/>
      <c r="X30" s="17"/>
      <c r="Y30" s="17"/>
      <c r="Z30" s="17"/>
      <c r="AA30" s="17"/>
    </row>
    <row r="31" spans="1:27" ht="14.25" customHeight="1">
      <c r="A31" s="25"/>
      <c r="B31" s="25"/>
      <c r="C31" s="25"/>
      <c r="D31" s="55"/>
      <c r="E31" s="17"/>
      <c r="F31" s="17"/>
      <c r="G31" s="17"/>
      <c r="H31" s="17"/>
      <c r="I31" s="17"/>
      <c r="J31" s="17"/>
      <c r="K31" s="17"/>
      <c r="L31" s="17"/>
      <c r="M31" s="17"/>
      <c r="N31" s="17"/>
      <c r="O31" s="17"/>
      <c r="P31" s="17"/>
      <c r="Q31" s="17"/>
      <c r="R31" s="17"/>
      <c r="S31" s="17"/>
      <c r="T31" s="17"/>
      <c r="U31" s="17"/>
      <c r="V31" s="17"/>
      <c r="W31" s="17"/>
      <c r="X31" s="17"/>
      <c r="Y31" s="17"/>
      <c r="Z31" s="17"/>
      <c r="AA31" s="17"/>
    </row>
    <row r="32" spans="1:27" ht="14.25" customHeight="1">
      <c r="A32" s="25"/>
      <c r="B32" s="25"/>
      <c r="C32" s="25"/>
      <c r="D32" s="55"/>
      <c r="E32" s="17"/>
      <c r="F32" s="17"/>
      <c r="G32" s="17"/>
      <c r="H32" s="17"/>
      <c r="I32" s="17"/>
      <c r="J32" s="17"/>
      <c r="K32" s="17"/>
      <c r="L32" s="17"/>
      <c r="M32" s="17"/>
      <c r="N32" s="17"/>
      <c r="O32" s="17"/>
      <c r="P32" s="17"/>
      <c r="Q32" s="17"/>
      <c r="R32" s="17"/>
      <c r="S32" s="17"/>
      <c r="T32" s="17"/>
      <c r="U32" s="17"/>
      <c r="V32" s="17"/>
      <c r="W32" s="17"/>
      <c r="X32" s="17"/>
      <c r="Y32" s="17"/>
      <c r="Z32" s="17"/>
      <c r="AA32" s="17"/>
    </row>
    <row r="33" spans="1:27" ht="14.25" customHeight="1">
      <c r="A33" s="25"/>
      <c r="B33" s="25"/>
      <c r="C33" s="25"/>
      <c r="D33" s="55"/>
      <c r="E33" s="17"/>
      <c r="F33" s="17"/>
      <c r="G33" s="17"/>
      <c r="H33" s="17"/>
      <c r="I33" s="17"/>
      <c r="J33" s="17"/>
      <c r="K33" s="17"/>
      <c r="L33" s="17"/>
      <c r="M33" s="17"/>
      <c r="N33" s="17"/>
      <c r="O33" s="17"/>
      <c r="P33" s="17"/>
      <c r="Q33" s="17"/>
      <c r="R33" s="17"/>
      <c r="S33" s="17"/>
      <c r="T33" s="17"/>
      <c r="U33" s="17"/>
      <c r="V33" s="17"/>
      <c r="W33" s="17"/>
      <c r="X33" s="17"/>
      <c r="Y33" s="17"/>
      <c r="Z33" s="17"/>
      <c r="AA33" s="17"/>
    </row>
    <row r="34" spans="1:27" ht="14.25" customHeight="1">
      <c r="A34" s="25"/>
      <c r="B34" s="25"/>
      <c r="C34" s="25"/>
      <c r="D34" s="55"/>
      <c r="E34" s="17"/>
      <c r="F34" s="17"/>
      <c r="G34" s="17"/>
      <c r="H34" s="17"/>
      <c r="I34" s="17"/>
      <c r="J34" s="17"/>
      <c r="K34" s="17"/>
      <c r="L34" s="17"/>
      <c r="M34" s="17"/>
      <c r="N34" s="17"/>
      <c r="O34" s="17"/>
      <c r="P34" s="17"/>
      <c r="Q34" s="17"/>
      <c r="R34" s="17"/>
      <c r="S34" s="17"/>
      <c r="T34" s="17"/>
      <c r="U34" s="17"/>
      <c r="V34" s="17"/>
      <c r="W34" s="17"/>
      <c r="X34" s="17"/>
      <c r="Y34" s="17"/>
      <c r="Z34" s="17"/>
      <c r="AA34" s="17"/>
    </row>
    <row r="35" spans="1:27" ht="14.25" customHeight="1">
      <c r="A35" s="25"/>
      <c r="B35" s="25"/>
      <c r="C35" s="25"/>
      <c r="D35" s="55"/>
      <c r="E35" s="17"/>
      <c r="F35" s="17"/>
      <c r="G35" s="17"/>
      <c r="H35" s="17"/>
      <c r="I35" s="17"/>
      <c r="J35" s="17"/>
      <c r="K35" s="17"/>
      <c r="L35" s="17"/>
      <c r="M35" s="17"/>
      <c r="N35" s="17"/>
      <c r="O35" s="17"/>
      <c r="P35" s="17"/>
      <c r="Q35" s="17"/>
      <c r="R35" s="17"/>
      <c r="S35" s="17"/>
      <c r="T35" s="17"/>
      <c r="U35" s="17"/>
      <c r="V35" s="17"/>
      <c r="W35" s="17"/>
      <c r="X35" s="17"/>
      <c r="Y35" s="17"/>
      <c r="Z35" s="17"/>
      <c r="AA35" s="17"/>
    </row>
    <row r="36" spans="1:27" ht="14.25" customHeight="1">
      <c r="A36" s="25"/>
      <c r="B36" s="25"/>
      <c r="C36" s="25"/>
      <c r="D36" s="55"/>
      <c r="E36" s="17"/>
      <c r="F36" s="17"/>
      <c r="G36" s="17"/>
      <c r="H36" s="17"/>
      <c r="I36" s="17"/>
      <c r="J36" s="17"/>
      <c r="K36" s="17"/>
      <c r="L36" s="17"/>
      <c r="M36" s="17"/>
      <c r="N36" s="17"/>
      <c r="O36" s="17"/>
      <c r="P36" s="17"/>
      <c r="Q36" s="17"/>
      <c r="R36" s="17"/>
      <c r="S36" s="17"/>
      <c r="T36" s="17"/>
      <c r="U36" s="17"/>
      <c r="V36" s="17"/>
      <c r="W36" s="17"/>
      <c r="X36" s="17"/>
      <c r="Y36" s="17"/>
      <c r="Z36" s="17"/>
      <c r="AA36" s="17"/>
    </row>
    <row r="37" spans="1:27" ht="14.25" customHeight="1">
      <c r="A37" s="25"/>
      <c r="B37" s="25"/>
      <c r="C37" s="25"/>
      <c r="D37" s="55"/>
      <c r="E37" s="17"/>
      <c r="F37" s="17"/>
      <c r="G37" s="17"/>
      <c r="H37" s="17"/>
      <c r="I37" s="17"/>
      <c r="J37" s="17"/>
      <c r="K37" s="17"/>
      <c r="L37" s="17"/>
      <c r="M37" s="17"/>
      <c r="N37" s="17"/>
      <c r="O37" s="17"/>
      <c r="P37" s="17"/>
      <c r="Q37" s="17"/>
      <c r="R37" s="17"/>
      <c r="S37" s="17"/>
      <c r="T37" s="17"/>
      <c r="U37" s="17"/>
      <c r="V37" s="17"/>
      <c r="W37" s="17"/>
      <c r="X37" s="17"/>
      <c r="Y37" s="17"/>
      <c r="Z37" s="17"/>
      <c r="AA37" s="17"/>
    </row>
    <row r="38" spans="1:27" ht="14.25" customHeight="1">
      <c r="A38" s="25"/>
      <c r="B38" s="25"/>
      <c r="C38" s="25"/>
      <c r="D38" s="55"/>
      <c r="E38" s="17"/>
      <c r="F38" s="17"/>
      <c r="G38" s="17"/>
      <c r="H38" s="17"/>
      <c r="I38" s="17"/>
      <c r="J38" s="17"/>
      <c r="K38" s="17"/>
      <c r="L38" s="17"/>
      <c r="M38" s="17"/>
      <c r="N38" s="17"/>
      <c r="O38" s="17"/>
      <c r="P38" s="17"/>
      <c r="Q38" s="17"/>
      <c r="R38" s="17"/>
      <c r="S38" s="17"/>
      <c r="T38" s="17"/>
      <c r="U38" s="17"/>
      <c r="V38" s="17"/>
      <c r="W38" s="17"/>
      <c r="X38" s="17"/>
      <c r="Y38" s="17"/>
      <c r="Z38" s="17"/>
      <c r="AA38" s="17"/>
    </row>
    <row r="39" spans="1:27" ht="14.25" customHeight="1">
      <c r="A39" s="25"/>
      <c r="B39" s="25"/>
      <c r="C39" s="25"/>
      <c r="D39" s="55"/>
      <c r="E39" s="17"/>
      <c r="F39" s="17"/>
      <c r="G39" s="17"/>
      <c r="H39" s="17"/>
      <c r="I39" s="17"/>
      <c r="J39" s="17"/>
      <c r="K39" s="17"/>
      <c r="L39" s="17"/>
      <c r="M39" s="17"/>
      <c r="N39" s="17"/>
      <c r="O39" s="17"/>
      <c r="P39" s="17"/>
      <c r="Q39" s="17"/>
      <c r="R39" s="17"/>
      <c r="S39" s="17"/>
      <c r="T39" s="17"/>
      <c r="U39" s="17"/>
      <c r="V39" s="17"/>
      <c r="W39" s="17"/>
      <c r="X39" s="17"/>
      <c r="Y39" s="17"/>
      <c r="Z39" s="17"/>
      <c r="AA39" s="17"/>
    </row>
    <row r="40" spans="1:27" ht="14.25" customHeight="1">
      <c r="A40" s="25"/>
      <c r="B40" s="25"/>
      <c r="C40" s="25"/>
      <c r="D40" s="55"/>
      <c r="E40" s="17"/>
      <c r="F40" s="17"/>
      <c r="G40" s="17"/>
      <c r="H40" s="17"/>
      <c r="I40" s="17"/>
      <c r="J40" s="17"/>
      <c r="K40" s="17"/>
      <c r="L40" s="17"/>
      <c r="M40" s="17"/>
      <c r="N40" s="17"/>
      <c r="O40" s="17"/>
      <c r="P40" s="17"/>
      <c r="Q40" s="17"/>
      <c r="R40" s="17"/>
      <c r="S40" s="17"/>
      <c r="T40" s="17"/>
      <c r="U40" s="17"/>
      <c r="V40" s="17"/>
      <c r="W40" s="17"/>
      <c r="X40" s="17"/>
      <c r="Y40" s="17"/>
      <c r="Z40" s="17"/>
      <c r="AA40" s="17"/>
    </row>
    <row r="41" spans="1:27" ht="14.25" customHeight="1">
      <c r="A41" s="25"/>
      <c r="B41" s="25"/>
      <c r="C41" s="25"/>
      <c r="D41" s="55"/>
      <c r="E41" s="17"/>
      <c r="F41" s="17"/>
      <c r="G41" s="17"/>
      <c r="H41" s="17"/>
      <c r="I41" s="17"/>
      <c r="J41" s="17"/>
      <c r="K41" s="17"/>
      <c r="L41" s="17"/>
      <c r="M41" s="17"/>
      <c r="N41" s="17"/>
      <c r="O41" s="17"/>
      <c r="P41" s="17"/>
      <c r="Q41" s="17"/>
      <c r="R41" s="17"/>
      <c r="S41" s="17"/>
      <c r="T41" s="17"/>
      <c r="U41" s="17"/>
      <c r="V41" s="17"/>
      <c r="W41" s="17"/>
      <c r="X41" s="17"/>
      <c r="Y41" s="17"/>
      <c r="Z41" s="17"/>
      <c r="AA41" s="17"/>
    </row>
    <row r="42" spans="1:27" ht="14.25" customHeight="1">
      <c r="A42" s="25"/>
      <c r="B42" s="25"/>
      <c r="C42" s="25"/>
      <c r="D42" s="55"/>
      <c r="E42" s="17"/>
      <c r="F42" s="17"/>
      <c r="G42" s="17"/>
      <c r="H42" s="17"/>
      <c r="I42" s="17"/>
      <c r="J42" s="17"/>
      <c r="K42" s="17"/>
      <c r="L42" s="17"/>
      <c r="M42" s="17"/>
      <c r="N42" s="17"/>
      <c r="O42" s="17"/>
      <c r="P42" s="17"/>
      <c r="Q42" s="17"/>
      <c r="R42" s="17"/>
      <c r="S42" s="17"/>
      <c r="T42" s="17"/>
      <c r="U42" s="17"/>
      <c r="V42" s="17"/>
      <c r="W42" s="17"/>
      <c r="X42" s="17"/>
      <c r="Y42" s="17"/>
      <c r="Z42" s="17"/>
      <c r="AA42" s="17"/>
    </row>
    <row r="43" spans="1:27" ht="14.25" customHeight="1">
      <c r="A43" s="25"/>
      <c r="B43" s="25"/>
      <c r="C43" s="25"/>
      <c r="D43" s="55"/>
      <c r="E43" s="17"/>
      <c r="F43" s="17"/>
      <c r="G43" s="17"/>
      <c r="H43" s="17"/>
      <c r="I43" s="17"/>
      <c r="J43" s="17"/>
      <c r="K43" s="17"/>
      <c r="L43" s="17"/>
      <c r="M43" s="17"/>
      <c r="N43" s="17"/>
      <c r="O43" s="17"/>
      <c r="P43" s="17"/>
      <c r="Q43" s="17"/>
      <c r="R43" s="17"/>
      <c r="S43" s="17"/>
      <c r="T43" s="17"/>
      <c r="U43" s="17"/>
      <c r="V43" s="17"/>
      <c r="W43" s="17"/>
      <c r="X43" s="17"/>
      <c r="Y43" s="17"/>
      <c r="Z43" s="17"/>
      <c r="AA43" s="17"/>
    </row>
    <row r="44" spans="1:27" ht="14.25" customHeight="1">
      <c r="A44" s="25"/>
      <c r="B44" s="25"/>
      <c r="C44" s="25"/>
      <c r="D44" s="55"/>
      <c r="E44" s="17"/>
      <c r="F44" s="17"/>
      <c r="G44" s="17"/>
      <c r="H44" s="17"/>
      <c r="I44" s="17"/>
      <c r="J44" s="17"/>
      <c r="K44" s="17"/>
      <c r="L44" s="17"/>
      <c r="M44" s="17"/>
      <c r="N44" s="17"/>
      <c r="O44" s="17"/>
      <c r="P44" s="17"/>
      <c r="Q44" s="17"/>
      <c r="R44" s="17"/>
      <c r="S44" s="17"/>
      <c r="T44" s="17"/>
      <c r="U44" s="17"/>
      <c r="V44" s="17"/>
      <c r="W44" s="17"/>
      <c r="X44" s="17"/>
      <c r="Y44" s="17"/>
      <c r="Z44" s="17"/>
      <c r="AA44" s="17"/>
    </row>
    <row r="45" spans="1:27" ht="14.25" customHeight="1">
      <c r="A45" s="25"/>
      <c r="B45" s="25"/>
      <c r="C45" s="25"/>
      <c r="D45" s="55"/>
      <c r="E45" s="17"/>
      <c r="F45" s="17"/>
      <c r="G45" s="17"/>
      <c r="H45" s="17"/>
      <c r="I45" s="17"/>
      <c r="J45" s="17"/>
      <c r="K45" s="17"/>
      <c r="L45" s="17"/>
      <c r="M45" s="17"/>
      <c r="N45" s="17"/>
      <c r="O45" s="17"/>
      <c r="P45" s="17"/>
      <c r="Q45" s="17"/>
      <c r="R45" s="17"/>
      <c r="S45" s="17"/>
      <c r="T45" s="17"/>
      <c r="U45" s="17"/>
      <c r="V45" s="17"/>
      <c r="W45" s="17"/>
      <c r="X45" s="17"/>
      <c r="Y45" s="17"/>
      <c r="Z45" s="17"/>
      <c r="AA45" s="17"/>
    </row>
    <row r="46" spans="1:27" ht="14.25" customHeight="1">
      <c r="A46" s="25"/>
      <c r="B46" s="25"/>
      <c r="C46" s="25"/>
      <c r="D46" s="55"/>
      <c r="E46" s="17"/>
      <c r="F46" s="17"/>
      <c r="G46" s="17"/>
      <c r="H46" s="17"/>
      <c r="I46" s="17"/>
      <c r="J46" s="17"/>
      <c r="K46" s="17"/>
      <c r="L46" s="17"/>
      <c r="M46" s="17"/>
      <c r="N46" s="17"/>
      <c r="O46" s="17"/>
      <c r="P46" s="17"/>
      <c r="Q46" s="17"/>
      <c r="R46" s="17"/>
      <c r="S46" s="17"/>
      <c r="T46" s="17"/>
      <c r="U46" s="17"/>
      <c r="V46" s="17"/>
      <c r="W46" s="17"/>
      <c r="X46" s="17"/>
      <c r="Y46" s="17"/>
      <c r="Z46" s="17"/>
      <c r="AA46" s="17"/>
    </row>
    <row r="47" spans="1:27" ht="14.25" customHeight="1">
      <c r="A47" s="25"/>
      <c r="B47" s="25"/>
      <c r="C47" s="25"/>
      <c r="D47" s="55"/>
      <c r="E47" s="17"/>
      <c r="F47" s="17"/>
      <c r="G47" s="17"/>
      <c r="H47" s="17"/>
      <c r="I47" s="17"/>
      <c r="J47" s="17"/>
      <c r="K47" s="17"/>
      <c r="L47" s="17"/>
      <c r="M47" s="17"/>
      <c r="N47" s="17"/>
      <c r="O47" s="17"/>
      <c r="P47" s="17"/>
      <c r="Q47" s="17"/>
      <c r="R47" s="17"/>
      <c r="S47" s="17"/>
      <c r="T47" s="17"/>
      <c r="U47" s="17"/>
      <c r="V47" s="17"/>
      <c r="W47" s="17"/>
      <c r="X47" s="17"/>
      <c r="Y47" s="17"/>
      <c r="Z47" s="17"/>
      <c r="AA47" s="17"/>
    </row>
    <row r="48" spans="1:27" ht="14.25" customHeight="1">
      <c r="A48" s="25"/>
      <c r="B48" s="25"/>
      <c r="C48" s="25"/>
      <c r="D48" s="55"/>
      <c r="E48" s="17"/>
      <c r="F48" s="17"/>
      <c r="G48" s="17"/>
      <c r="H48" s="17"/>
      <c r="I48" s="17"/>
      <c r="J48" s="17"/>
      <c r="K48" s="17"/>
      <c r="L48" s="17"/>
      <c r="M48" s="17"/>
      <c r="N48" s="17"/>
      <c r="O48" s="17"/>
      <c r="P48" s="17"/>
      <c r="Q48" s="17"/>
      <c r="R48" s="17"/>
      <c r="S48" s="17"/>
      <c r="T48" s="17"/>
      <c r="U48" s="17"/>
      <c r="V48" s="17"/>
      <c r="W48" s="17"/>
      <c r="X48" s="17"/>
      <c r="Y48" s="17"/>
      <c r="Z48" s="17"/>
      <c r="AA48" s="17"/>
    </row>
    <row r="49" spans="1:27" ht="14.25" customHeight="1">
      <c r="A49" s="25"/>
      <c r="B49" s="25"/>
      <c r="C49" s="25"/>
      <c r="D49" s="55"/>
      <c r="E49" s="17"/>
      <c r="F49" s="17"/>
      <c r="G49" s="17"/>
      <c r="H49" s="17"/>
      <c r="I49" s="17"/>
      <c r="J49" s="17"/>
      <c r="K49" s="17"/>
      <c r="L49" s="17"/>
      <c r="M49" s="17"/>
      <c r="N49" s="17"/>
      <c r="O49" s="17"/>
      <c r="P49" s="17"/>
      <c r="Q49" s="17"/>
      <c r="R49" s="17"/>
      <c r="S49" s="17"/>
      <c r="T49" s="17"/>
      <c r="U49" s="17"/>
      <c r="V49" s="17"/>
      <c r="W49" s="17"/>
      <c r="X49" s="17"/>
      <c r="Y49" s="17"/>
      <c r="Z49" s="17"/>
      <c r="AA49" s="17"/>
    </row>
    <row r="50" spans="1:27" ht="14.25" customHeight="1">
      <c r="A50" s="25"/>
      <c r="B50" s="25"/>
      <c r="C50" s="25"/>
      <c r="D50" s="55"/>
      <c r="E50" s="17"/>
      <c r="F50" s="17"/>
      <c r="G50" s="17"/>
      <c r="H50" s="17"/>
      <c r="I50" s="17"/>
      <c r="J50" s="17"/>
      <c r="K50" s="17"/>
      <c r="L50" s="17"/>
      <c r="M50" s="17"/>
      <c r="N50" s="17"/>
      <c r="O50" s="17"/>
      <c r="P50" s="17"/>
      <c r="Q50" s="17"/>
      <c r="R50" s="17"/>
      <c r="S50" s="17"/>
      <c r="T50" s="17"/>
      <c r="U50" s="17"/>
      <c r="V50" s="17"/>
      <c r="W50" s="17"/>
      <c r="X50" s="17"/>
      <c r="Y50" s="17"/>
      <c r="Z50" s="17"/>
      <c r="AA50" s="17"/>
    </row>
    <row r="51" spans="1:27" ht="14.25" customHeight="1">
      <c r="A51" s="25"/>
      <c r="B51" s="25"/>
      <c r="C51" s="25"/>
      <c r="D51" s="55"/>
      <c r="E51" s="17"/>
      <c r="F51" s="17"/>
      <c r="G51" s="17"/>
      <c r="H51" s="17"/>
      <c r="I51" s="17"/>
      <c r="J51" s="17"/>
      <c r="K51" s="17"/>
      <c r="L51" s="17"/>
      <c r="M51" s="17"/>
      <c r="N51" s="17"/>
      <c r="O51" s="17"/>
      <c r="P51" s="17"/>
      <c r="Q51" s="17"/>
      <c r="R51" s="17"/>
      <c r="S51" s="17"/>
      <c r="T51" s="17"/>
      <c r="U51" s="17"/>
      <c r="V51" s="17"/>
      <c r="W51" s="17"/>
      <c r="X51" s="17"/>
      <c r="Y51" s="17"/>
      <c r="Z51" s="17"/>
      <c r="AA51" s="17"/>
    </row>
    <row r="52" spans="1:27" ht="14.25" customHeight="1">
      <c r="A52" s="25"/>
      <c r="B52" s="25"/>
      <c r="C52" s="25"/>
      <c r="D52" s="55"/>
      <c r="E52" s="17"/>
      <c r="F52" s="17"/>
      <c r="G52" s="17"/>
      <c r="H52" s="17"/>
      <c r="I52" s="17"/>
      <c r="J52" s="17"/>
      <c r="K52" s="17"/>
      <c r="L52" s="17"/>
      <c r="M52" s="17"/>
      <c r="N52" s="17"/>
      <c r="O52" s="17"/>
      <c r="P52" s="17"/>
      <c r="Q52" s="17"/>
      <c r="R52" s="17"/>
      <c r="S52" s="17"/>
      <c r="T52" s="17"/>
      <c r="U52" s="17"/>
      <c r="V52" s="17"/>
      <c r="W52" s="17"/>
      <c r="X52" s="17"/>
      <c r="Y52" s="17"/>
      <c r="Z52" s="17"/>
      <c r="AA52" s="17"/>
    </row>
    <row r="53" spans="1:27" ht="14.25" customHeight="1">
      <c r="A53" s="25"/>
      <c r="B53" s="25"/>
      <c r="C53" s="25"/>
      <c r="D53" s="55"/>
      <c r="E53" s="17"/>
      <c r="F53" s="17"/>
      <c r="G53" s="17"/>
      <c r="H53" s="17"/>
      <c r="I53" s="17"/>
      <c r="J53" s="17"/>
      <c r="K53" s="17"/>
      <c r="L53" s="17"/>
      <c r="M53" s="17"/>
      <c r="N53" s="17"/>
      <c r="O53" s="17"/>
      <c r="P53" s="17"/>
      <c r="Q53" s="17"/>
      <c r="R53" s="17"/>
      <c r="S53" s="17"/>
      <c r="T53" s="17"/>
      <c r="U53" s="17"/>
      <c r="V53" s="17"/>
      <c r="W53" s="17"/>
      <c r="X53" s="17"/>
      <c r="Y53" s="17"/>
      <c r="Z53" s="17"/>
      <c r="AA53" s="17"/>
    </row>
    <row r="54" spans="1:27" ht="14.25" customHeight="1">
      <c r="A54" s="25"/>
      <c r="B54" s="25"/>
      <c r="C54" s="25"/>
      <c r="D54" s="55"/>
      <c r="E54" s="17"/>
      <c r="F54" s="17"/>
      <c r="G54" s="17"/>
      <c r="H54" s="17"/>
      <c r="I54" s="17"/>
      <c r="J54" s="17"/>
      <c r="K54" s="17"/>
      <c r="L54" s="17"/>
      <c r="M54" s="17"/>
      <c r="N54" s="17"/>
      <c r="O54" s="17"/>
      <c r="P54" s="17"/>
      <c r="Q54" s="17"/>
      <c r="R54" s="17"/>
      <c r="S54" s="17"/>
      <c r="T54" s="17"/>
      <c r="U54" s="17"/>
      <c r="V54" s="17"/>
      <c r="W54" s="17"/>
      <c r="X54" s="17"/>
      <c r="Y54" s="17"/>
      <c r="Z54" s="17"/>
      <c r="AA54" s="17"/>
    </row>
    <row r="55" spans="1:27" ht="14.25" customHeight="1">
      <c r="A55" s="25"/>
      <c r="B55" s="25"/>
      <c r="C55" s="25"/>
      <c r="D55" s="55"/>
      <c r="E55" s="17"/>
      <c r="F55" s="17"/>
      <c r="G55" s="17"/>
      <c r="H55" s="17"/>
      <c r="I55" s="17"/>
      <c r="J55" s="17"/>
      <c r="K55" s="17"/>
      <c r="L55" s="17"/>
      <c r="M55" s="17"/>
      <c r="N55" s="17"/>
      <c r="O55" s="17"/>
      <c r="P55" s="17"/>
      <c r="Q55" s="17"/>
      <c r="R55" s="17"/>
      <c r="S55" s="17"/>
      <c r="T55" s="17"/>
      <c r="U55" s="17"/>
      <c r="V55" s="17"/>
      <c r="W55" s="17"/>
      <c r="X55" s="17"/>
      <c r="Y55" s="17"/>
      <c r="Z55" s="17"/>
      <c r="AA55" s="17"/>
    </row>
    <row r="56" spans="1:27" ht="14.25" customHeight="1">
      <c r="A56" s="25"/>
      <c r="B56" s="25"/>
      <c r="C56" s="25"/>
      <c r="D56" s="55"/>
      <c r="E56" s="17"/>
      <c r="F56" s="17"/>
      <c r="G56" s="17"/>
      <c r="H56" s="17"/>
      <c r="I56" s="17"/>
      <c r="J56" s="17"/>
      <c r="K56" s="17"/>
      <c r="L56" s="17"/>
      <c r="M56" s="17"/>
      <c r="N56" s="17"/>
      <c r="O56" s="17"/>
      <c r="P56" s="17"/>
      <c r="Q56" s="17"/>
      <c r="R56" s="17"/>
      <c r="S56" s="17"/>
      <c r="T56" s="17"/>
      <c r="U56" s="17"/>
      <c r="V56" s="17"/>
      <c r="W56" s="17"/>
      <c r="X56" s="17"/>
      <c r="Y56" s="17"/>
      <c r="Z56" s="17"/>
      <c r="AA56" s="17"/>
    </row>
    <row r="57" spans="1:27" ht="14.25" customHeight="1">
      <c r="A57" s="25"/>
      <c r="B57" s="25"/>
      <c r="C57" s="25"/>
      <c r="D57" s="55"/>
      <c r="E57" s="17"/>
      <c r="F57" s="17"/>
      <c r="G57" s="17"/>
      <c r="H57" s="17"/>
      <c r="I57" s="17"/>
      <c r="J57" s="17"/>
      <c r="K57" s="17"/>
      <c r="L57" s="17"/>
      <c r="M57" s="17"/>
      <c r="N57" s="17"/>
      <c r="O57" s="17"/>
      <c r="P57" s="17"/>
      <c r="Q57" s="17"/>
      <c r="R57" s="17"/>
      <c r="S57" s="17"/>
      <c r="T57" s="17"/>
      <c r="U57" s="17"/>
      <c r="V57" s="17"/>
      <c r="W57" s="17"/>
      <c r="X57" s="17"/>
      <c r="Y57" s="17"/>
      <c r="Z57" s="17"/>
      <c r="AA57" s="17"/>
    </row>
    <row r="58" spans="1:27" ht="14.25" customHeight="1">
      <c r="A58" s="25"/>
      <c r="B58" s="25"/>
      <c r="C58" s="25"/>
      <c r="D58" s="55"/>
      <c r="E58" s="17"/>
      <c r="F58" s="17"/>
      <c r="G58" s="17"/>
      <c r="H58" s="17"/>
      <c r="I58" s="17"/>
      <c r="J58" s="17"/>
      <c r="K58" s="17"/>
      <c r="L58" s="17"/>
      <c r="M58" s="17"/>
      <c r="N58" s="17"/>
      <c r="O58" s="17"/>
      <c r="P58" s="17"/>
      <c r="Q58" s="17"/>
      <c r="R58" s="17"/>
      <c r="S58" s="17"/>
      <c r="T58" s="17"/>
      <c r="U58" s="17"/>
      <c r="V58" s="17"/>
      <c r="W58" s="17"/>
      <c r="X58" s="17"/>
      <c r="Y58" s="17"/>
      <c r="Z58" s="17"/>
      <c r="AA58" s="17"/>
    </row>
    <row r="59" spans="1:27" ht="14.25" customHeight="1">
      <c r="A59" s="25"/>
      <c r="B59" s="25"/>
      <c r="C59" s="25"/>
      <c r="D59" s="55"/>
      <c r="E59" s="17"/>
      <c r="F59" s="17"/>
      <c r="G59" s="17"/>
      <c r="H59" s="17"/>
      <c r="I59" s="17"/>
      <c r="J59" s="17"/>
      <c r="K59" s="17"/>
      <c r="L59" s="17"/>
      <c r="M59" s="17"/>
      <c r="N59" s="17"/>
      <c r="O59" s="17"/>
      <c r="P59" s="17"/>
      <c r="Q59" s="17"/>
      <c r="R59" s="17"/>
      <c r="S59" s="17"/>
      <c r="T59" s="17"/>
      <c r="U59" s="17"/>
      <c r="V59" s="17"/>
      <c r="W59" s="17"/>
      <c r="X59" s="17"/>
      <c r="Y59" s="17"/>
      <c r="Z59" s="17"/>
      <c r="AA59" s="17"/>
    </row>
    <row r="60" spans="1:27" ht="14.25" customHeight="1">
      <c r="A60" s="25"/>
      <c r="B60" s="25"/>
      <c r="C60" s="25"/>
      <c r="D60" s="55"/>
      <c r="E60" s="17"/>
      <c r="F60" s="17"/>
      <c r="G60" s="17"/>
      <c r="H60" s="17"/>
      <c r="I60" s="17"/>
      <c r="J60" s="17"/>
      <c r="K60" s="17"/>
      <c r="L60" s="17"/>
      <c r="M60" s="17"/>
      <c r="N60" s="17"/>
      <c r="O60" s="17"/>
      <c r="P60" s="17"/>
      <c r="Q60" s="17"/>
      <c r="R60" s="17"/>
      <c r="S60" s="17"/>
      <c r="T60" s="17"/>
      <c r="U60" s="17"/>
      <c r="V60" s="17"/>
      <c r="W60" s="17"/>
      <c r="X60" s="17"/>
      <c r="Y60" s="17"/>
      <c r="Z60" s="17"/>
      <c r="AA60" s="17"/>
    </row>
    <row r="61" spans="1:27" ht="14.25" customHeight="1">
      <c r="A61" s="25"/>
      <c r="B61" s="25"/>
      <c r="C61" s="25"/>
      <c r="D61" s="55"/>
      <c r="E61" s="17"/>
      <c r="F61" s="17"/>
      <c r="G61" s="17"/>
      <c r="H61" s="17"/>
      <c r="I61" s="17"/>
      <c r="J61" s="17"/>
      <c r="K61" s="17"/>
      <c r="L61" s="17"/>
      <c r="M61" s="17"/>
      <c r="N61" s="17"/>
      <c r="O61" s="17"/>
      <c r="P61" s="17"/>
      <c r="Q61" s="17"/>
      <c r="R61" s="17"/>
      <c r="S61" s="17"/>
      <c r="T61" s="17"/>
      <c r="U61" s="17"/>
      <c r="V61" s="17"/>
      <c r="W61" s="17"/>
      <c r="X61" s="17"/>
      <c r="Y61" s="17"/>
      <c r="Z61" s="17"/>
      <c r="AA61" s="17"/>
    </row>
    <row r="62" spans="1:27" ht="14.25" customHeight="1">
      <c r="A62" s="25"/>
      <c r="B62" s="25"/>
      <c r="C62" s="25"/>
      <c r="D62" s="55"/>
      <c r="E62" s="17"/>
      <c r="F62" s="17"/>
      <c r="G62" s="17"/>
      <c r="H62" s="17"/>
      <c r="I62" s="17"/>
      <c r="J62" s="17"/>
      <c r="K62" s="17"/>
      <c r="L62" s="17"/>
      <c r="M62" s="17"/>
      <c r="N62" s="17"/>
      <c r="O62" s="17"/>
      <c r="P62" s="17"/>
      <c r="Q62" s="17"/>
      <c r="R62" s="17"/>
      <c r="S62" s="17"/>
      <c r="T62" s="17"/>
      <c r="U62" s="17"/>
      <c r="V62" s="17"/>
      <c r="W62" s="17"/>
      <c r="X62" s="17"/>
      <c r="Y62" s="17"/>
      <c r="Z62" s="17"/>
      <c r="AA62" s="17"/>
    </row>
    <row r="63" spans="1:27" ht="14.25" customHeight="1">
      <c r="A63" s="25"/>
      <c r="B63" s="25"/>
      <c r="C63" s="25"/>
      <c r="D63" s="55"/>
      <c r="E63" s="17"/>
      <c r="F63" s="17"/>
      <c r="G63" s="17"/>
      <c r="H63" s="17"/>
      <c r="I63" s="17"/>
      <c r="J63" s="17"/>
      <c r="K63" s="17"/>
      <c r="L63" s="17"/>
      <c r="M63" s="17"/>
      <c r="N63" s="17"/>
      <c r="O63" s="17"/>
      <c r="P63" s="17"/>
      <c r="Q63" s="17"/>
      <c r="R63" s="17"/>
      <c r="S63" s="17"/>
      <c r="T63" s="17"/>
      <c r="U63" s="17"/>
      <c r="V63" s="17"/>
      <c r="W63" s="17"/>
      <c r="X63" s="17"/>
      <c r="Y63" s="17"/>
      <c r="Z63" s="17"/>
      <c r="AA63" s="17"/>
    </row>
    <row r="64" spans="1:27" ht="14.25" customHeight="1">
      <c r="A64" s="25"/>
      <c r="B64" s="25"/>
      <c r="C64" s="25"/>
      <c r="D64" s="55"/>
      <c r="E64" s="17"/>
      <c r="F64" s="17"/>
      <c r="G64" s="17"/>
      <c r="H64" s="17"/>
      <c r="I64" s="17"/>
      <c r="J64" s="17"/>
      <c r="K64" s="17"/>
      <c r="L64" s="17"/>
      <c r="M64" s="17"/>
      <c r="N64" s="17"/>
      <c r="O64" s="17"/>
      <c r="P64" s="17"/>
      <c r="Q64" s="17"/>
      <c r="R64" s="17"/>
      <c r="S64" s="17"/>
      <c r="T64" s="17"/>
      <c r="U64" s="17"/>
      <c r="V64" s="17"/>
      <c r="W64" s="17"/>
      <c r="X64" s="17"/>
      <c r="Y64" s="17"/>
      <c r="Z64" s="17"/>
      <c r="AA64" s="17"/>
    </row>
    <row r="65" spans="1:27" ht="14.25" customHeight="1">
      <c r="A65" s="25"/>
      <c r="B65" s="25"/>
      <c r="C65" s="25"/>
      <c r="D65" s="55"/>
      <c r="E65" s="17"/>
      <c r="F65" s="17"/>
      <c r="G65" s="17"/>
      <c r="H65" s="17"/>
      <c r="I65" s="17"/>
      <c r="J65" s="17"/>
      <c r="K65" s="17"/>
      <c r="L65" s="17"/>
      <c r="M65" s="17"/>
      <c r="N65" s="17"/>
      <c r="O65" s="17"/>
      <c r="P65" s="17"/>
      <c r="Q65" s="17"/>
      <c r="R65" s="17"/>
      <c r="S65" s="17"/>
      <c r="T65" s="17"/>
      <c r="U65" s="17"/>
      <c r="V65" s="17"/>
      <c r="W65" s="17"/>
      <c r="X65" s="17"/>
      <c r="Y65" s="17"/>
      <c r="Z65" s="17"/>
      <c r="AA65" s="17"/>
    </row>
    <row r="66" spans="1:27" ht="14.25" customHeight="1">
      <c r="A66" s="25"/>
      <c r="B66" s="25"/>
      <c r="C66" s="25"/>
      <c r="D66" s="55"/>
      <c r="E66" s="17"/>
      <c r="F66" s="17"/>
      <c r="G66" s="17"/>
      <c r="H66" s="17"/>
      <c r="I66" s="17"/>
      <c r="J66" s="17"/>
      <c r="K66" s="17"/>
      <c r="L66" s="17"/>
      <c r="M66" s="17"/>
      <c r="N66" s="17"/>
      <c r="O66" s="17"/>
      <c r="P66" s="17"/>
      <c r="Q66" s="17"/>
      <c r="R66" s="17"/>
      <c r="S66" s="17"/>
      <c r="T66" s="17"/>
      <c r="U66" s="17"/>
      <c r="V66" s="17"/>
      <c r="W66" s="17"/>
      <c r="X66" s="17"/>
      <c r="Y66" s="17"/>
      <c r="Z66" s="17"/>
      <c r="AA66" s="17"/>
    </row>
    <row r="67" spans="1:27" ht="14.25" customHeight="1">
      <c r="A67" s="25"/>
      <c r="B67" s="25"/>
      <c r="C67" s="25"/>
      <c r="D67" s="55"/>
      <c r="E67" s="17"/>
      <c r="F67" s="17"/>
      <c r="G67" s="17"/>
      <c r="H67" s="17"/>
      <c r="I67" s="17"/>
      <c r="J67" s="17"/>
      <c r="K67" s="17"/>
      <c r="L67" s="17"/>
      <c r="M67" s="17"/>
      <c r="N67" s="17"/>
      <c r="O67" s="17"/>
      <c r="P67" s="17"/>
      <c r="Q67" s="17"/>
      <c r="R67" s="17"/>
      <c r="S67" s="17"/>
      <c r="T67" s="17"/>
      <c r="U67" s="17"/>
      <c r="V67" s="17"/>
      <c r="W67" s="17"/>
      <c r="X67" s="17"/>
      <c r="Y67" s="17"/>
      <c r="Z67" s="17"/>
      <c r="AA67" s="17"/>
    </row>
    <row r="68" spans="1:27" ht="14.25" customHeight="1">
      <c r="A68" s="25"/>
      <c r="B68" s="25"/>
      <c r="C68" s="25"/>
      <c r="D68" s="55"/>
      <c r="E68" s="17"/>
      <c r="F68" s="17"/>
      <c r="G68" s="17"/>
      <c r="H68" s="17"/>
      <c r="I68" s="17"/>
      <c r="J68" s="17"/>
      <c r="K68" s="17"/>
      <c r="L68" s="17"/>
      <c r="M68" s="17"/>
      <c r="N68" s="17"/>
      <c r="O68" s="17"/>
      <c r="P68" s="17"/>
      <c r="Q68" s="17"/>
      <c r="R68" s="17"/>
      <c r="S68" s="17"/>
      <c r="T68" s="17"/>
      <c r="U68" s="17"/>
      <c r="V68" s="17"/>
      <c r="W68" s="17"/>
      <c r="X68" s="17"/>
      <c r="Y68" s="17"/>
      <c r="Z68" s="17"/>
      <c r="AA68" s="17"/>
    </row>
    <row r="69" spans="1:27" ht="14.25" customHeight="1">
      <c r="A69" s="25"/>
      <c r="B69" s="25"/>
      <c r="C69" s="25"/>
      <c r="D69" s="55"/>
      <c r="E69" s="17"/>
      <c r="F69" s="17"/>
      <c r="G69" s="17"/>
      <c r="H69" s="17"/>
      <c r="I69" s="17"/>
      <c r="J69" s="17"/>
      <c r="K69" s="17"/>
      <c r="L69" s="17"/>
      <c r="M69" s="17"/>
      <c r="N69" s="17"/>
      <c r="O69" s="17"/>
      <c r="P69" s="17"/>
      <c r="Q69" s="17"/>
      <c r="R69" s="17"/>
      <c r="S69" s="17"/>
      <c r="T69" s="17"/>
      <c r="U69" s="17"/>
      <c r="V69" s="17"/>
      <c r="W69" s="17"/>
      <c r="X69" s="17"/>
      <c r="Y69" s="17"/>
      <c r="Z69" s="17"/>
      <c r="AA69" s="17"/>
    </row>
    <row r="70" spans="1:27" ht="14.25" customHeight="1">
      <c r="A70" s="25"/>
      <c r="B70" s="25"/>
      <c r="C70" s="25"/>
      <c r="D70" s="55"/>
      <c r="E70" s="17"/>
      <c r="F70" s="17"/>
      <c r="G70" s="17"/>
      <c r="H70" s="17"/>
      <c r="I70" s="17"/>
      <c r="J70" s="17"/>
      <c r="K70" s="17"/>
      <c r="L70" s="17"/>
      <c r="M70" s="17"/>
      <c r="N70" s="17"/>
      <c r="O70" s="17"/>
      <c r="P70" s="17"/>
      <c r="Q70" s="17"/>
      <c r="R70" s="17"/>
      <c r="S70" s="17"/>
      <c r="T70" s="17"/>
      <c r="U70" s="17"/>
      <c r="V70" s="17"/>
      <c r="W70" s="17"/>
      <c r="X70" s="17"/>
      <c r="Y70" s="17"/>
      <c r="Z70" s="17"/>
      <c r="AA70" s="17"/>
    </row>
    <row r="71" spans="1:27" ht="14.25" customHeight="1">
      <c r="A71" s="25"/>
      <c r="B71" s="25"/>
      <c r="C71" s="25"/>
      <c r="D71" s="55"/>
      <c r="E71" s="17"/>
      <c r="F71" s="17"/>
      <c r="G71" s="17"/>
      <c r="H71" s="17"/>
      <c r="I71" s="17"/>
      <c r="J71" s="17"/>
      <c r="K71" s="17"/>
      <c r="L71" s="17"/>
      <c r="M71" s="17"/>
      <c r="N71" s="17"/>
      <c r="O71" s="17"/>
      <c r="P71" s="17"/>
      <c r="Q71" s="17"/>
      <c r="R71" s="17"/>
      <c r="S71" s="17"/>
      <c r="T71" s="17"/>
      <c r="U71" s="17"/>
      <c r="V71" s="17"/>
      <c r="W71" s="17"/>
      <c r="X71" s="17"/>
      <c r="Y71" s="17"/>
      <c r="Z71" s="17"/>
      <c r="AA71" s="17"/>
    </row>
    <row r="72" spans="1:27" ht="14.25" customHeight="1">
      <c r="A72" s="25"/>
      <c r="B72" s="25"/>
      <c r="C72" s="25"/>
      <c r="D72" s="55"/>
      <c r="E72" s="17"/>
      <c r="F72" s="17"/>
      <c r="G72" s="17"/>
      <c r="H72" s="17"/>
      <c r="I72" s="17"/>
      <c r="J72" s="17"/>
      <c r="K72" s="17"/>
      <c r="L72" s="17"/>
      <c r="M72" s="17"/>
      <c r="N72" s="17"/>
      <c r="O72" s="17"/>
      <c r="P72" s="17"/>
      <c r="Q72" s="17"/>
      <c r="R72" s="17"/>
      <c r="S72" s="17"/>
      <c r="T72" s="17"/>
      <c r="U72" s="17"/>
      <c r="V72" s="17"/>
      <c r="W72" s="17"/>
      <c r="X72" s="17"/>
      <c r="Y72" s="17"/>
      <c r="Z72" s="17"/>
      <c r="AA72" s="17"/>
    </row>
    <row r="73" spans="1:27" ht="14.25" customHeight="1">
      <c r="A73" s="25"/>
      <c r="B73" s="25"/>
      <c r="C73" s="25"/>
      <c r="D73" s="55"/>
      <c r="E73" s="17"/>
      <c r="F73" s="17"/>
      <c r="G73" s="17"/>
      <c r="H73" s="17"/>
      <c r="I73" s="17"/>
      <c r="J73" s="17"/>
      <c r="K73" s="17"/>
      <c r="L73" s="17"/>
      <c r="M73" s="17"/>
      <c r="N73" s="17"/>
      <c r="O73" s="17"/>
      <c r="P73" s="17"/>
      <c r="Q73" s="17"/>
      <c r="R73" s="17"/>
      <c r="S73" s="17"/>
      <c r="T73" s="17"/>
      <c r="U73" s="17"/>
      <c r="V73" s="17"/>
      <c r="W73" s="17"/>
      <c r="X73" s="17"/>
      <c r="Y73" s="17"/>
      <c r="Z73" s="17"/>
      <c r="AA73" s="17"/>
    </row>
    <row r="74" spans="1:27" ht="14.25" customHeight="1">
      <c r="A74" s="25"/>
      <c r="B74" s="25"/>
      <c r="C74" s="25"/>
      <c r="D74" s="55"/>
      <c r="E74" s="17"/>
      <c r="F74" s="17"/>
      <c r="G74" s="17"/>
      <c r="H74" s="17"/>
      <c r="I74" s="17"/>
      <c r="J74" s="17"/>
      <c r="K74" s="17"/>
      <c r="L74" s="17"/>
      <c r="M74" s="17"/>
      <c r="N74" s="17"/>
      <c r="O74" s="17"/>
      <c r="P74" s="17"/>
      <c r="Q74" s="17"/>
      <c r="R74" s="17"/>
      <c r="S74" s="17"/>
      <c r="T74" s="17"/>
      <c r="U74" s="17"/>
      <c r="V74" s="17"/>
      <c r="W74" s="17"/>
      <c r="X74" s="17"/>
      <c r="Y74" s="17"/>
      <c r="Z74" s="17"/>
      <c r="AA74" s="17"/>
    </row>
    <row r="75" spans="1:27" ht="14.25" customHeight="1">
      <c r="A75" s="25"/>
      <c r="B75" s="25"/>
      <c r="C75" s="25"/>
      <c r="D75" s="55"/>
      <c r="E75" s="17"/>
      <c r="F75" s="17"/>
      <c r="G75" s="17"/>
      <c r="H75" s="17"/>
      <c r="I75" s="17"/>
      <c r="J75" s="17"/>
      <c r="K75" s="17"/>
      <c r="L75" s="17"/>
      <c r="M75" s="17"/>
      <c r="N75" s="17"/>
      <c r="O75" s="17"/>
      <c r="P75" s="17"/>
      <c r="Q75" s="17"/>
      <c r="R75" s="17"/>
      <c r="S75" s="17"/>
      <c r="T75" s="17"/>
      <c r="U75" s="17"/>
      <c r="V75" s="17"/>
      <c r="W75" s="17"/>
      <c r="X75" s="17"/>
      <c r="Y75" s="17"/>
      <c r="Z75" s="17"/>
      <c r="AA75" s="17"/>
    </row>
    <row r="76" spans="1:27" ht="14.25" customHeight="1">
      <c r="A76" s="25"/>
      <c r="B76" s="25"/>
      <c r="C76" s="25"/>
      <c r="D76" s="55"/>
      <c r="E76" s="17"/>
      <c r="F76" s="17"/>
      <c r="G76" s="17"/>
      <c r="H76" s="17"/>
      <c r="I76" s="17"/>
      <c r="J76" s="17"/>
      <c r="K76" s="17"/>
      <c r="L76" s="17"/>
      <c r="M76" s="17"/>
      <c r="N76" s="17"/>
      <c r="O76" s="17"/>
      <c r="P76" s="17"/>
      <c r="Q76" s="17"/>
      <c r="R76" s="17"/>
      <c r="S76" s="17"/>
      <c r="T76" s="17"/>
      <c r="U76" s="17"/>
      <c r="V76" s="17"/>
      <c r="W76" s="17"/>
      <c r="X76" s="17"/>
      <c r="Y76" s="17"/>
      <c r="Z76" s="17"/>
      <c r="AA76" s="17"/>
    </row>
    <row r="77" spans="1:27" ht="14.25" customHeight="1">
      <c r="A77" s="25"/>
      <c r="B77" s="25"/>
      <c r="C77" s="25"/>
      <c r="D77" s="55"/>
      <c r="E77" s="17"/>
      <c r="F77" s="17"/>
      <c r="G77" s="17"/>
      <c r="H77" s="17"/>
      <c r="I77" s="17"/>
      <c r="J77" s="17"/>
      <c r="K77" s="17"/>
      <c r="L77" s="17"/>
      <c r="M77" s="17"/>
      <c r="N77" s="17"/>
      <c r="O77" s="17"/>
      <c r="P77" s="17"/>
      <c r="Q77" s="17"/>
      <c r="R77" s="17"/>
      <c r="S77" s="17"/>
      <c r="T77" s="17"/>
      <c r="U77" s="17"/>
      <c r="V77" s="17"/>
      <c r="W77" s="17"/>
      <c r="X77" s="17"/>
      <c r="Y77" s="17"/>
      <c r="Z77" s="17"/>
      <c r="AA77" s="17"/>
    </row>
    <row r="78" spans="1:27" ht="14.25" customHeight="1">
      <c r="A78" s="25"/>
      <c r="B78" s="25"/>
      <c r="C78" s="25"/>
      <c r="D78" s="55"/>
      <c r="E78" s="17"/>
      <c r="F78" s="17"/>
      <c r="G78" s="17"/>
      <c r="H78" s="17"/>
      <c r="I78" s="17"/>
      <c r="J78" s="17"/>
      <c r="K78" s="17"/>
      <c r="L78" s="17"/>
      <c r="M78" s="17"/>
      <c r="N78" s="17"/>
      <c r="O78" s="17"/>
      <c r="P78" s="17"/>
      <c r="Q78" s="17"/>
      <c r="R78" s="17"/>
      <c r="S78" s="17"/>
      <c r="T78" s="17"/>
      <c r="U78" s="17"/>
      <c r="V78" s="17"/>
      <c r="W78" s="17"/>
      <c r="X78" s="17"/>
      <c r="Y78" s="17"/>
      <c r="Z78" s="17"/>
      <c r="AA78" s="17"/>
    </row>
    <row r="79" spans="1:27" ht="14.25" customHeight="1">
      <c r="A79" s="25"/>
      <c r="B79" s="25"/>
      <c r="C79" s="25"/>
      <c r="D79" s="55"/>
      <c r="E79" s="17"/>
      <c r="F79" s="17"/>
      <c r="G79" s="17"/>
      <c r="H79" s="17"/>
      <c r="I79" s="17"/>
      <c r="J79" s="17"/>
      <c r="K79" s="17"/>
      <c r="L79" s="17"/>
      <c r="M79" s="17"/>
      <c r="N79" s="17"/>
      <c r="O79" s="17"/>
      <c r="P79" s="17"/>
      <c r="Q79" s="17"/>
      <c r="R79" s="17"/>
      <c r="S79" s="17"/>
      <c r="T79" s="17"/>
      <c r="U79" s="17"/>
      <c r="V79" s="17"/>
      <c r="W79" s="17"/>
      <c r="X79" s="17"/>
      <c r="Y79" s="17"/>
      <c r="Z79" s="17"/>
      <c r="AA79" s="17"/>
    </row>
    <row r="80" spans="1:27" ht="14.25" customHeight="1">
      <c r="A80" s="25"/>
      <c r="B80" s="25"/>
      <c r="C80" s="25"/>
      <c r="D80" s="55"/>
      <c r="E80" s="17"/>
      <c r="F80" s="17"/>
      <c r="G80" s="17"/>
      <c r="H80" s="17"/>
      <c r="I80" s="17"/>
      <c r="J80" s="17"/>
      <c r="K80" s="17"/>
      <c r="L80" s="17"/>
      <c r="M80" s="17"/>
      <c r="N80" s="17"/>
      <c r="O80" s="17"/>
      <c r="P80" s="17"/>
      <c r="Q80" s="17"/>
      <c r="R80" s="17"/>
      <c r="S80" s="17"/>
      <c r="T80" s="17"/>
      <c r="U80" s="17"/>
      <c r="V80" s="17"/>
      <c r="W80" s="17"/>
      <c r="X80" s="17"/>
      <c r="Y80" s="17"/>
      <c r="Z80" s="17"/>
      <c r="AA80" s="17"/>
    </row>
    <row r="81" spans="1:27" ht="14.25" customHeight="1">
      <c r="A81" s="25"/>
      <c r="B81" s="25"/>
      <c r="C81" s="25"/>
      <c r="D81" s="55"/>
      <c r="E81" s="17"/>
      <c r="F81" s="17"/>
      <c r="G81" s="17"/>
      <c r="H81" s="17"/>
      <c r="I81" s="17"/>
      <c r="J81" s="17"/>
      <c r="K81" s="17"/>
      <c r="L81" s="17"/>
      <c r="M81" s="17"/>
      <c r="N81" s="17"/>
      <c r="O81" s="17"/>
      <c r="P81" s="17"/>
      <c r="Q81" s="17"/>
      <c r="R81" s="17"/>
      <c r="S81" s="17"/>
      <c r="T81" s="17"/>
      <c r="U81" s="17"/>
      <c r="V81" s="17"/>
      <c r="W81" s="17"/>
      <c r="X81" s="17"/>
      <c r="Y81" s="17"/>
      <c r="Z81" s="17"/>
      <c r="AA81" s="17"/>
    </row>
    <row r="82" spans="1:27" ht="14.25" customHeight="1">
      <c r="A82" s="25"/>
      <c r="B82" s="25"/>
      <c r="C82" s="25"/>
      <c r="D82" s="55"/>
      <c r="E82" s="17"/>
      <c r="F82" s="17"/>
      <c r="G82" s="17"/>
      <c r="H82" s="17"/>
      <c r="I82" s="17"/>
      <c r="J82" s="17"/>
      <c r="K82" s="17"/>
      <c r="L82" s="17"/>
      <c r="M82" s="17"/>
      <c r="N82" s="17"/>
      <c r="O82" s="17"/>
      <c r="P82" s="17"/>
      <c r="Q82" s="17"/>
      <c r="R82" s="17"/>
      <c r="S82" s="17"/>
      <c r="T82" s="17"/>
      <c r="U82" s="17"/>
      <c r="V82" s="17"/>
      <c r="W82" s="17"/>
      <c r="X82" s="17"/>
      <c r="Y82" s="17"/>
      <c r="Z82" s="17"/>
      <c r="AA82" s="17"/>
    </row>
    <row r="83" spans="1:27" ht="14.25" customHeight="1">
      <c r="A83" s="25"/>
      <c r="B83" s="25"/>
      <c r="C83" s="25"/>
      <c r="D83" s="55"/>
      <c r="E83" s="17"/>
      <c r="F83" s="17"/>
      <c r="G83" s="17"/>
      <c r="H83" s="17"/>
      <c r="I83" s="17"/>
      <c r="J83" s="17"/>
      <c r="K83" s="17"/>
      <c r="L83" s="17"/>
      <c r="M83" s="17"/>
      <c r="N83" s="17"/>
      <c r="O83" s="17"/>
      <c r="P83" s="17"/>
      <c r="Q83" s="17"/>
      <c r="R83" s="17"/>
      <c r="S83" s="17"/>
      <c r="T83" s="17"/>
      <c r="U83" s="17"/>
      <c r="V83" s="17"/>
      <c r="W83" s="17"/>
      <c r="X83" s="17"/>
      <c r="Y83" s="17"/>
      <c r="Z83" s="17"/>
      <c r="AA83" s="17"/>
    </row>
    <row r="84" spans="1:27" ht="14.25" customHeight="1">
      <c r="A84" s="25"/>
      <c r="B84" s="25"/>
      <c r="C84" s="25"/>
      <c r="D84" s="55"/>
      <c r="E84" s="17"/>
      <c r="F84" s="17"/>
      <c r="G84" s="17"/>
      <c r="H84" s="17"/>
      <c r="I84" s="17"/>
      <c r="J84" s="17"/>
      <c r="K84" s="17"/>
      <c r="L84" s="17"/>
      <c r="M84" s="17"/>
      <c r="N84" s="17"/>
      <c r="O84" s="17"/>
      <c r="P84" s="17"/>
      <c r="Q84" s="17"/>
      <c r="R84" s="17"/>
      <c r="S84" s="17"/>
      <c r="T84" s="17"/>
      <c r="U84" s="17"/>
      <c r="V84" s="17"/>
      <c r="W84" s="17"/>
      <c r="X84" s="17"/>
      <c r="Y84" s="17"/>
      <c r="Z84" s="17"/>
      <c r="AA84" s="17"/>
    </row>
    <row r="85" spans="1:27" ht="14.25" customHeight="1">
      <c r="A85" s="25"/>
      <c r="B85" s="25"/>
      <c r="C85" s="25"/>
      <c r="D85" s="55"/>
      <c r="E85" s="17"/>
      <c r="F85" s="17"/>
      <c r="G85" s="17"/>
      <c r="H85" s="17"/>
      <c r="I85" s="17"/>
      <c r="J85" s="17"/>
      <c r="K85" s="17"/>
      <c r="L85" s="17"/>
      <c r="M85" s="17"/>
      <c r="N85" s="17"/>
      <c r="O85" s="17"/>
      <c r="P85" s="17"/>
      <c r="Q85" s="17"/>
      <c r="R85" s="17"/>
      <c r="S85" s="17"/>
      <c r="T85" s="17"/>
      <c r="U85" s="17"/>
      <c r="V85" s="17"/>
      <c r="W85" s="17"/>
      <c r="X85" s="17"/>
      <c r="Y85" s="17"/>
      <c r="Z85" s="17"/>
      <c r="AA85" s="17"/>
    </row>
    <row r="86" spans="1:27" ht="14.25" customHeight="1">
      <c r="A86" s="25"/>
      <c r="B86" s="25"/>
      <c r="C86" s="25"/>
      <c r="D86" s="55"/>
      <c r="E86" s="17"/>
      <c r="F86" s="17"/>
      <c r="G86" s="17"/>
      <c r="H86" s="17"/>
      <c r="I86" s="17"/>
      <c r="J86" s="17"/>
      <c r="K86" s="17"/>
      <c r="L86" s="17"/>
      <c r="M86" s="17"/>
      <c r="N86" s="17"/>
      <c r="O86" s="17"/>
      <c r="P86" s="17"/>
      <c r="Q86" s="17"/>
      <c r="R86" s="17"/>
      <c r="S86" s="17"/>
      <c r="T86" s="17"/>
      <c r="U86" s="17"/>
      <c r="V86" s="17"/>
      <c r="W86" s="17"/>
      <c r="X86" s="17"/>
      <c r="Y86" s="17"/>
      <c r="Z86" s="17"/>
      <c r="AA86" s="17"/>
    </row>
    <row r="87" spans="1:27" ht="14.25" customHeight="1">
      <c r="A87" s="25"/>
      <c r="B87" s="25"/>
      <c r="C87" s="25"/>
      <c r="D87" s="55"/>
      <c r="E87" s="17"/>
      <c r="F87" s="17"/>
      <c r="G87" s="17"/>
      <c r="H87" s="17"/>
      <c r="I87" s="17"/>
      <c r="J87" s="17"/>
      <c r="K87" s="17"/>
      <c r="L87" s="17"/>
      <c r="M87" s="17"/>
      <c r="N87" s="17"/>
      <c r="O87" s="17"/>
      <c r="P87" s="17"/>
      <c r="Q87" s="17"/>
      <c r="R87" s="17"/>
      <c r="S87" s="17"/>
      <c r="T87" s="17"/>
      <c r="U87" s="17"/>
      <c r="V87" s="17"/>
      <c r="W87" s="17"/>
      <c r="X87" s="17"/>
      <c r="Y87" s="17"/>
      <c r="Z87" s="17"/>
      <c r="AA87" s="17"/>
    </row>
    <row r="88" spans="1:27" ht="14.25" customHeight="1">
      <c r="A88" s="25"/>
      <c r="B88" s="25"/>
      <c r="C88" s="25"/>
      <c r="D88" s="55"/>
      <c r="E88" s="17"/>
      <c r="F88" s="17"/>
      <c r="G88" s="17"/>
      <c r="H88" s="17"/>
      <c r="I88" s="17"/>
      <c r="J88" s="17"/>
      <c r="K88" s="17"/>
      <c r="L88" s="17"/>
      <c r="M88" s="17"/>
      <c r="N88" s="17"/>
      <c r="O88" s="17"/>
      <c r="P88" s="17"/>
      <c r="Q88" s="17"/>
      <c r="R88" s="17"/>
      <c r="S88" s="17"/>
      <c r="T88" s="17"/>
      <c r="U88" s="17"/>
      <c r="V88" s="17"/>
      <c r="W88" s="17"/>
      <c r="X88" s="17"/>
      <c r="Y88" s="17"/>
      <c r="Z88" s="17"/>
      <c r="AA88" s="17"/>
    </row>
    <row r="89" spans="1:27" ht="14.25" customHeight="1">
      <c r="A89" s="25"/>
      <c r="B89" s="25"/>
      <c r="C89" s="25"/>
      <c r="D89" s="55"/>
      <c r="E89" s="17"/>
      <c r="F89" s="17"/>
      <c r="G89" s="17"/>
      <c r="H89" s="17"/>
      <c r="I89" s="17"/>
      <c r="J89" s="17"/>
      <c r="K89" s="17"/>
      <c r="L89" s="17"/>
      <c r="M89" s="17"/>
      <c r="N89" s="17"/>
      <c r="O89" s="17"/>
      <c r="P89" s="17"/>
      <c r="Q89" s="17"/>
      <c r="R89" s="17"/>
      <c r="S89" s="17"/>
      <c r="T89" s="17"/>
      <c r="U89" s="17"/>
      <c r="V89" s="17"/>
      <c r="W89" s="17"/>
      <c r="X89" s="17"/>
      <c r="Y89" s="17"/>
      <c r="Z89" s="17"/>
      <c r="AA89" s="17"/>
    </row>
    <row r="90" spans="1:27" ht="14.25" customHeight="1">
      <c r="A90" s="25"/>
      <c r="B90" s="25"/>
      <c r="C90" s="25"/>
      <c r="D90" s="55"/>
      <c r="E90" s="17"/>
      <c r="F90" s="17"/>
      <c r="G90" s="17"/>
      <c r="H90" s="17"/>
      <c r="I90" s="17"/>
      <c r="J90" s="17"/>
      <c r="K90" s="17"/>
      <c r="L90" s="17"/>
      <c r="M90" s="17"/>
      <c r="N90" s="17"/>
      <c r="O90" s="17"/>
      <c r="P90" s="17"/>
      <c r="Q90" s="17"/>
      <c r="R90" s="17"/>
      <c r="S90" s="17"/>
      <c r="T90" s="17"/>
      <c r="U90" s="17"/>
      <c r="V90" s="17"/>
      <c r="W90" s="17"/>
      <c r="X90" s="17"/>
      <c r="Y90" s="17"/>
      <c r="Z90" s="17"/>
      <c r="AA90" s="17"/>
    </row>
    <row r="91" spans="1:27" ht="14.25" customHeight="1">
      <c r="A91" s="25"/>
      <c r="B91" s="25"/>
      <c r="C91" s="25"/>
      <c r="D91" s="55"/>
      <c r="E91" s="17"/>
      <c r="F91" s="17"/>
      <c r="G91" s="17"/>
      <c r="H91" s="17"/>
      <c r="I91" s="17"/>
      <c r="J91" s="17"/>
      <c r="K91" s="17"/>
      <c r="L91" s="17"/>
      <c r="M91" s="17"/>
      <c r="N91" s="17"/>
      <c r="O91" s="17"/>
      <c r="P91" s="17"/>
      <c r="Q91" s="17"/>
      <c r="R91" s="17"/>
      <c r="S91" s="17"/>
      <c r="T91" s="17"/>
      <c r="U91" s="17"/>
      <c r="V91" s="17"/>
      <c r="W91" s="17"/>
      <c r="X91" s="17"/>
      <c r="Y91" s="17"/>
      <c r="Z91" s="17"/>
      <c r="AA91" s="17"/>
    </row>
    <row r="92" spans="1:27" ht="14.25" customHeight="1">
      <c r="A92" s="25"/>
      <c r="B92" s="25"/>
      <c r="C92" s="25"/>
      <c r="D92" s="55"/>
      <c r="E92" s="17"/>
      <c r="F92" s="17"/>
      <c r="G92" s="17"/>
      <c r="H92" s="17"/>
      <c r="I92" s="17"/>
      <c r="J92" s="17"/>
      <c r="K92" s="17"/>
      <c r="L92" s="17"/>
      <c r="M92" s="17"/>
      <c r="N92" s="17"/>
      <c r="O92" s="17"/>
      <c r="P92" s="17"/>
      <c r="Q92" s="17"/>
      <c r="R92" s="17"/>
      <c r="S92" s="17"/>
      <c r="T92" s="17"/>
      <c r="U92" s="17"/>
      <c r="V92" s="17"/>
      <c r="W92" s="17"/>
      <c r="X92" s="17"/>
      <c r="Y92" s="17"/>
      <c r="Z92" s="17"/>
      <c r="AA92" s="17"/>
    </row>
    <row r="93" spans="1:27" ht="14.25" customHeight="1">
      <c r="A93" s="25"/>
      <c r="B93" s="25"/>
      <c r="C93" s="25"/>
      <c r="D93" s="55"/>
      <c r="E93" s="17"/>
      <c r="F93" s="17"/>
      <c r="G93" s="17"/>
      <c r="H93" s="17"/>
      <c r="I93" s="17"/>
      <c r="J93" s="17"/>
      <c r="K93" s="17"/>
      <c r="L93" s="17"/>
      <c r="M93" s="17"/>
      <c r="N93" s="17"/>
      <c r="O93" s="17"/>
      <c r="P93" s="17"/>
      <c r="Q93" s="17"/>
      <c r="R93" s="17"/>
      <c r="S93" s="17"/>
      <c r="T93" s="17"/>
      <c r="U93" s="17"/>
      <c r="V93" s="17"/>
      <c r="W93" s="17"/>
      <c r="X93" s="17"/>
      <c r="Y93" s="17"/>
      <c r="Z93" s="17"/>
      <c r="AA93" s="17"/>
    </row>
    <row r="94" spans="1:27" ht="14.25" customHeight="1">
      <c r="A94" s="25"/>
      <c r="B94" s="25"/>
      <c r="C94" s="25"/>
      <c r="D94" s="55"/>
      <c r="E94" s="17"/>
      <c r="F94" s="17"/>
      <c r="G94" s="17"/>
      <c r="H94" s="17"/>
      <c r="I94" s="17"/>
      <c r="J94" s="17"/>
      <c r="K94" s="17"/>
      <c r="L94" s="17"/>
      <c r="M94" s="17"/>
      <c r="N94" s="17"/>
      <c r="O94" s="17"/>
      <c r="P94" s="17"/>
      <c r="Q94" s="17"/>
      <c r="R94" s="17"/>
      <c r="S94" s="17"/>
      <c r="T94" s="17"/>
      <c r="U94" s="17"/>
      <c r="V94" s="17"/>
      <c r="W94" s="17"/>
      <c r="X94" s="17"/>
      <c r="Y94" s="17"/>
      <c r="Z94" s="17"/>
      <c r="AA94" s="17"/>
    </row>
    <row r="95" spans="1:27" ht="14.25" customHeight="1">
      <c r="A95" s="25"/>
      <c r="B95" s="25"/>
      <c r="C95" s="25"/>
      <c r="D95" s="55"/>
      <c r="E95" s="17"/>
      <c r="F95" s="17"/>
      <c r="G95" s="17"/>
      <c r="H95" s="17"/>
      <c r="I95" s="17"/>
      <c r="J95" s="17"/>
      <c r="K95" s="17"/>
      <c r="L95" s="17"/>
      <c r="M95" s="17"/>
      <c r="N95" s="17"/>
      <c r="O95" s="17"/>
      <c r="P95" s="17"/>
      <c r="Q95" s="17"/>
      <c r="R95" s="17"/>
      <c r="S95" s="17"/>
      <c r="T95" s="17"/>
      <c r="U95" s="17"/>
      <c r="V95" s="17"/>
      <c r="W95" s="17"/>
      <c r="X95" s="17"/>
      <c r="Y95" s="17"/>
      <c r="Z95" s="17"/>
      <c r="AA95" s="17"/>
    </row>
    <row r="96" spans="1:27" ht="14.25" customHeight="1">
      <c r="A96" s="25"/>
      <c r="B96" s="25"/>
      <c r="C96" s="25"/>
      <c r="D96" s="55"/>
      <c r="E96" s="17"/>
      <c r="F96" s="17"/>
      <c r="G96" s="17"/>
      <c r="H96" s="17"/>
      <c r="I96" s="17"/>
      <c r="J96" s="17"/>
      <c r="K96" s="17"/>
      <c r="L96" s="17"/>
      <c r="M96" s="17"/>
      <c r="N96" s="17"/>
      <c r="O96" s="17"/>
      <c r="P96" s="17"/>
      <c r="Q96" s="17"/>
      <c r="R96" s="17"/>
      <c r="S96" s="17"/>
      <c r="T96" s="17"/>
      <c r="U96" s="17"/>
      <c r="V96" s="17"/>
      <c r="W96" s="17"/>
      <c r="X96" s="17"/>
      <c r="Y96" s="17"/>
      <c r="Z96" s="17"/>
      <c r="AA96" s="17"/>
    </row>
    <row r="97" spans="1:27" ht="14.25" customHeight="1">
      <c r="A97" s="25"/>
      <c r="B97" s="25"/>
      <c r="C97" s="25"/>
      <c r="D97" s="55"/>
      <c r="E97" s="17"/>
      <c r="F97" s="17"/>
      <c r="G97" s="17"/>
      <c r="H97" s="17"/>
      <c r="I97" s="17"/>
      <c r="J97" s="17"/>
      <c r="K97" s="17"/>
      <c r="L97" s="17"/>
      <c r="M97" s="17"/>
      <c r="N97" s="17"/>
      <c r="O97" s="17"/>
      <c r="P97" s="17"/>
      <c r="Q97" s="17"/>
      <c r="R97" s="17"/>
      <c r="S97" s="17"/>
      <c r="T97" s="17"/>
      <c r="U97" s="17"/>
      <c r="V97" s="17"/>
      <c r="W97" s="17"/>
      <c r="X97" s="17"/>
      <c r="Y97" s="17"/>
      <c r="Z97" s="17"/>
      <c r="AA97" s="17"/>
    </row>
    <row r="98" spans="1:27" ht="14.25" customHeight="1">
      <c r="A98" s="25"/>
      <c r="B98" s="25"/>
      <c r="C98" s="25"/>
      <c r="D98" s="55"/>
      <c r="E98" s="17"/>
      <c r="F98" s="17"/>
      <c r="G98" s="17"/>
      <c r="H98" s="17"/>
      <c r="I98" s="17"/>
      <c r="J98" s="17"/>
      <c r="K98" s="17"/>
      <c r="L98" s="17"/>
      <c r="M98" s="17"/>
      <c r="N98" s="17"/>
      <c r="O98" s="17"/>
      <c r="P98" s="17"/>
      <c r="Q98" s="17"/>
      <c r="R98" s="17"/>
      <c r="S98" s="17"/>
      <c r="T98" s="17"/>
      <c r="U98" s="17"/>
      <c r="V98" s="17"/>
      <c r="W98" s="17"/>
      <c r="X98" s="17"/>
      <c r="Y98" s="17"/>
      <c r="Z98" s="17"/>
      <c r="AA98" s="17"/>
    </row>
    <row r="99" spans="1:27" ht="14.25" customHeight="1">
      <c r="A99" s="25"/>
      <c r="B99" s="25"/>
      <c r="C99" s="25"/>
      <c r="D99" s="55"/>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4.25" customHeight="1">
      <c r="A100" s="25"/>
      <c r="B100" s="25"/>
      <c r="C100" s="25"/>
      <c r="D100" s="55"/>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4.25" customHeight="1">
      <c r="A101" s="25"/>
      <c r="B101" s="25"/>
      <c r="C101" s="25"/>
      <c r="D101" s="55"/>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4.25" customHeight="1">
      <c r="A102" s="25"/>
      <c r="B102" s="25"/>
      <c r="C102" s="25"/>
      <c r="D102" s="55"/>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4.25" customHeight="1">
      <c r="A103" s="25"/>
      <c r="B103" s="25"/>
      <c r="C103" s="25"/>
      <c r="D103" s="55"/>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4.25" customHeight="1">
      <c r="A104" s="25"/>
      <c r="B104" s="25"/>
      <c r="C104" s="25"/>
      <c r="D104" s="55"/>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4.25" customHeight="1">
      <c r="A105" s="25"/>
      <c r="B105" s="25"/>
      <c r="C105" s="25"/>
      <c r="D105" s="55"/>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4.25" customHeight="1">
      <c r="A106" s="25"/>
      <c r="B106" s="25"/>
      <c r="C106" s="25"/>
      <c r="D106" s="55"/>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4.25" customHeight="1">
      <c r="A107" s="25"/>
      <c r="B107" s="25"/>
      <c r="C107" s="25"/>
      <c r="D107" s="55"/>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4.25" customHeight="1">
      <c r="A108" s="25"/>
      <c r="B108" s="25"/>
      <c r="C108" s="25"/>
      <c r="D108" s="55"/>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4.25" customHeight="1">
      <c r="A109" s="25"/>
      <c r="B109" s="25"/>
      <c r="C109" s="25"/>
      <c r="D109" s="55"/>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4.25" customHeight="1">
      <c r="A110" s="25"/>
      <c r="B110" s="25"/>
      <c r="C110" s="25"/>
      <c r="D110" s="55"/>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4.25" customHeight="1">
      <c r="A111" s="25"/>
      <c r="B111" s="25"/>
      <c r="C111" s="25"/>
      <c r="D111" s="55"/>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4.25" customHeight="1">
      <c r="A112" s="25"/>
      <c r="B112" s="25"/>
      <c r="C112" s="25"/>
      <c r="D112" s="55"/>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4.25" customHeight="1">
      <c r="A113" s="25"/>
      <c r="B113" s="25"/>
      <c r="C113" s="25"/>
      <c r="D113" s="55"/>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4.25" customHeight="1">
      <c r="A114" s="25"/>
      <c r="B114" s="25"/>
      <c r="C114" s="25"/>
      <c r="D114" s="55"/>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4.25" customHeight="1">
      <c r="A115" s="25"/>
      <c r="B115" s="25"/>
      <c r="C115" s="25"/>
      <c r="D115" s="55"/>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4.25" customHeight="1">
      <c r="A116" s="25"/>
      <c r="B116" s="25"/>
      <c r="C116" s="25"/>
      <c r="D116" s="55"/>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4.25" customHeight="1">
      <c r="A117" s="25"/>
      <c r="B117" s="25"/>
      <c r="C117" s="25"/>
      <c r="D117" s="55"/>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4.25" customHeight="1">
      <c r="A118" s="25"/>
      <c r="B118" s="25"/>
      <c r="C118" s="25"/>
      <c r="D118" s="55"/>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4.25" customHeight="1">
      <c r="A119" s="25"/>
      <c r="B119" s="25"/>
      <c r="C119" s="25"/>
      <c r="D119" s="55"/>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4.25" customHeight="1">
      <c r="A120" s="25"/>
      <c r="B120" s="25"/>
      <c r="C120" s="25"/>
      <c r="D120" s="55"/>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4.25" customHeight="1">
      <c r="A121" s="25"/>
      <c r="B121" s="25"/>
      <c r="C121" s="25"/>
      <c r="D121" s="55"/>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4.25" customHeight="1">
      <c r="A122" s="25"/>
      <c r="B122" s="25"/>
      <c r="C122" s="25"/>
      <c r="D122" s="55"/>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4.25" customHeight="1">
      <c r="A123" s="25"/>
      <c r="B123" s="25"/>
      <c r="C123" s="25"/>
      <c r="D123" s="55"/>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4.25" customHeight="1">
      <c r="A124" s="25"/>
      <c r="B124" s="25"/>
      <c r="C124" s="25"/>
      <c r="D124" s="55"/>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4.25" customHeight="1">
      <c r="A125" s="25"/>
      <c r="B125" s="25"/>
      <c r="C125" s="25"/>
      <c r="D125" s="55"/>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4.25" customHeight="1">
      <c r="A126" s="25"/>
      <c r="B126" s="25"/>
      <c r="C126" s="25"/>
      <c r="D126" s="55"/>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4.25" customHeight="1">
      <c r="A127" s="25"/>
      <c r="B127" s="25"/>
      <c r="C127" s="25"/>
      <c r="D127" s="55"/>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4.25" customHeight="1">
      <c r="A128" s="25"/>
      <c r="B128" s="25"/>
      <c r="C128" s="25"/>
      <c r="D128" s="55"/>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4.25" customHeight="1">
      <c r="A129" s="25"/>
      <c r="B129" s="25"/>
      <c r="C129" s="25"/>
      <c r="D129" s="55"/>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4.25" customHeight="1">
      <c r="A130" s="25"/>
      <c r="B130" s="25"/>
      <c r="C130" s="25"/>
      <c r="D130" s="55"/>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4.25" customHeight="1">
      <c r="A131" s="25"/>
      <c r="B131" s="25"/>
      <c r="C131" s="25"/>
      <c r="D131" s="55"/>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4.25" customHeight="1">
      <c r="A132" s="25"/>
      <c r="B132" s="25"/>
      <c r="C132" s="25"/>
      <c r="D132" s="55"/>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4.25" customHeight="1">
      <c r="A133" s="25"/>
      <c r="B133" s="25"/>
      <c r="C133" s="25"/>
      <c r="D133" s="55"/>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4.25" customHeight="1">
      <c r="A134" s="25"/>
      <c r="B134" s="25"/>
      <c r="C134" s="25"/>
      <c r="D134" s="55"/>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4.25" customHeight="1">
      <c r="A135" s="25"/>
      <c r="B135" s="25"/>
      <c r="C135" s="25"/>
      <c r="D135" s="55"/>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4.25" customHeight="1">
      <c r="A136" s="25"/>
      <c r="B136" s="25"/>
      <c r="C136" s="25"/>
      <c r="D136" s="55"/>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4.25" customHeight="1">
      <c r="A137" s="25"/>
      <c r="B137" s="25"/>
      <c r="C137" s="25"/>
      <c r="D137" s="55"/>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4.25" customHeight="1">
      <c r="A138" s="25"/>
      <c r="B138" s="25"/>
      <c r="C138" s="25"/>
      <c r="D138" s="55"/>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4.25" customHeight="1">
      <c r="A139" s="25"/>
      <c r="B139" s="25"/>
      <c r="C139" s="25"/>
      <c r="D139" s="55"/>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4.25" customHeight="1">
      <c r="A140" s="25"/>
      <c r="B140" s="25"/>
      <c r="C140" s="25"/>
      <c r="D140" s="55"/>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4.25" customHeight="1">
      <c r="A141" s="25"/>
      <c r="B141" s="25"/>
      <c r="C141" s="25"/>
      <c r="D141" s="55"/>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4.25" customHeight="1">
      <c r="A142" s="25"/>
      <c r="B142" s="25"/>
      <c r="C142" s="25"/>
      <c r="D142" s="55"/>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4.25" customHeight="1">
      <c r="A143" s="25"/>
      <c r="B143" s="25"/>
      <c r="C143" s="25"/>
      <c r="D143" s="55"/>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4.25" customHeight="1">
      <c r="A144" s="25"/>
      <c r="B144" s="25"/>
      <c r="C144" s="25"/>
      <c r="D144" s="55"/>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4.25" customHeight="1">
      <c r="A145" s="25"/>
      <c r="B145" s="25"/>
      <c r="C145" s="25"/>
      <c r="D145" s="55"/>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4.25" customHeight="1">
      <c r="A146" s="25"/>
      <c r="B146" s="25"/>
      <c r="C146" s="25"/>
      <c r="D146" s="55"/>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4.25" customHeight="1">
      <c r="A147" s="25"/>
      <c r="B147" s="25"/>
      <c r="C147" s="25"/>
      <c r="D147" s="55"/>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4.25" customHeight="1">
      <c r="A148" s="25"/>
      <c r="B148" s="25"/>
      <c r="C148" s="25"/>
      <c r="D148" s="55"/>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4.25" customHeight="1">
      <c r="A149" s="25"/>
      <c r="B149" s="25"/>
      <c r="C149" s="25"/>
      <c r="D149" s="55"/>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4.25" customHeight="1">
      <c r="A150" s="25"/>
      <c r="B150" s="25"/>
      <c r="C150" s="25"/>
      <c r="D150" s="55"/>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4.25" customHeight="1">
      <c r="A151" s="25"/>
      <c r="B151" s="25"/>
      <c r="C151" s="25"/>
      <c r="D151" s="55"/>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4.25" customHeight="1">
      <c r="A152" s="25"/>
      <c r="B152" s="25"/>
      <c r="C152" s="25"/>
      <c r="D152" s="55"/>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4.25" customHeight="1">
      <c r="A153" s="25"/>
      <c r="B153" s="25"/>
      <c r="C153" s="25"/>
      <c r="D153" s="55"/>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4.25" customHeight="1">
      <c r="A154" s="25"/>
      <c r="B154" s="25"/>
      <c r="C154" s="25"/>
      <c r="D154" s="55"/>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4.25" customHeight="1">
      <c r="A155" s="25"/>
      <c r="B155" s="25"/>
      <c r="C155" s="25"/>
      <c r="D155" s="55"/>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4.25" customHeight="1">
      <c r="A156" s="25"/>
      <c r="B156" s="25"/>
      <c r="C156" s="25"/>
      <c r="D156" s="55"/>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4.25" customHeight="1">
      <c r="A157" s="25"/>
      <c r="B157" s="25"/>
      <c r="C157" s="25"/>
      <c r="D157" s="55"/>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4.25" customHeight="1">
      <c r="A158" s="25"/>
      <c r="B158" s="25"/>
      <c r="C158" s="25"/>
      <c r="D158" s="55"/>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4.25" customHeight="1">
      <c r="A159" s="25"/>
      <c r="B159" s="25"/>
      <c r="C159" s="25"/>
      <c r="D159" s="55"/>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4.25" customHeight="1">
      <c r="A160" s="25"/>
      <c r="B160" s="25"/>
      <c r="C160" s="25"/>
      <c r="D160" s="55"/>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4.25" customHeight="1">
      <c r="A161" s="25"/>
      <c r="B161" s="25"/>
      <c r="C161" s="25"/>
      <c r="D161" s="55"/>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4.25" customHeight="1">
      <c r="A162" s="25"/>
      <c r="B162" s="25"/>
      <c r="C162" s="25"/>
      <c r="D162" s="55"/>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4.25" customHeight="1">
      <c r="A163" s="25"/>
      <c r="B163" s="25"/>
      <c r="C163" s="25"/>
      <c r="D163" s="55"/>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4.25" customHeight="1">
      <c r="A164" s="25"/>
      <c r="B164" s="25"/>
      <c r="C164" s="25"/>
      <c r="D164" s="55"/>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4.25" customHeight="1">
      <c r="A165" s="25"/>
      <c r="B165" s="25"/>
      <c r="C165" s="25"/>
      <c r="D165" s="55"/>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4.25" customHeight="1">
      <c r="A166" s="25"/>
      <c r="B166" s="25"/>
      <c r="C166" s="25"/>
      <c r="D166" s="55"/>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4.25" customHeight="1">
      <c r="A167" s="25"/>
      <c r="B167" s="25"/>
      <c r="C167" s="25"/>
      <c r="D167" s="55"/>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4.25" customHeight="1">
      <c r="A168" s="25"/>
      <c r="B168" s="25"/>
      <c r="C168" s="25"/>
      <c r="D168" s="55"/>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4.25" customHeight="1">
      <c r="A169" s="25"/>
      <c r="B169" s="25"/>
      <c r="C169" s="25"/>
      <c r="D169" s="55"/>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4.25" customHeight="1">
      <c r="A170" s="25"/>
      <c r="B170" s="25"/>
      <c r="C170" s="25"/>
      <c r="D170" s="55"/>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4.25" customHeight="1">
      <c r="A171" s="25"/>
      <c r="B171" s="25"/>
      <c r="C171" s="25"/>
      <c r="D171" s="55"/>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4.25" customHeight="1">
      <c r="A172" s="25"/>
      <c r="B172" s="25"/>
      <c r="C172" s="25"/>
      <c r="D172" s="55"/>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4.25" customHeight="1">
      <c r="A173" s="25"/>
      <c r="B173" s="25"/>
      <c r="C173" s="25"/>
      <c r="D173" s="55"/>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4.25" customHeight="1">
      <c r="A174" s="25"/>
      <c r="B174" s="25"/>
      <c r="C174" s="25"/>
      <c r="D174" s="55"/>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4.25" customHeight="1">
      <c r="A175" s="25"/>
      <c r="B175" s="25"/>
      <c r="C175" s="25"/>
      <c r="D175" s="55"/>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4.25" customHeight="1">
      <c r="A176" s="25"/>
      <c r="B176" s="25"/>
      <c r="C176" s="25"/>
      <c r="D176" s="55"/>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4.25" customHeight="1">
      <c r="A177" s="25"/>
      <c r="B177" s="25"/>
      <c r="C177" s="25"/>
      <c r="D177" s="55"/>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4.25" customHeight="1">
      <c r="A178" s="25"/>
      <c r="B178" s="25"/>
      <c r="C178" s="25"/>
      <c r="D178" s="55"/>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4.25" customHeight="1">
      <c r="A179" s="25"/>
      <c r="B179" s="25"/>
      <c r="C179" s="25"/>
      <c r="D179" s="55"/>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4.25" customHeight="1">
      <c r="A180" s="25"/>
      <c r="B180" s="25"/>
      <c r="C180" s="25"/>
      <c r="D180" s="55"/>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4.25" customHeight="1">
      <c r="A181" s="25"/>
      <c r="B181" s="25"/>
      <c r="C181" s="25"/>
      <c r="D181" s="55"/>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4.25" customHeight="1">
      <c r="A182" s="25"/>
      <c r="B182" s="25"/>
      <c r="C182" s="25"/>
      <c r="D182" s="55"/>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4.25" customHeight="1">
      <c r="A183" s="25"/>
      <c r="B183" s="25"/>
      <c r="C183" s="25"/>
      <c r="D183" s="55"/>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4.25" customHeight="1">
      <c r="A184" s="25"/>
      <c r="B184" s="25"/>
      <c r="C184" s="25"/>
      <c r="D184" s="55"/>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4.25" customHeight="1">
      <c r="A185" s="25"/>
      <c r="B185" s="25"/>
      <c r="C185" s="25"/>
      <c r="D185" s="55"/>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4.25" customHeight="1">
      <c r="A186" s="25"/>
      <c r="B186" s="25"/>
      <c r="C186" s="25"/>
      <c r="D186" s="55"/>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4.25" customHeight="1">
      <c r="A187" s="25"/>
      <c r="B187" s="25"/>
      <c r="C187" s="25"/>
      <c r="D187" s="55"/>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4.25" customHeight="1">
      <c r="A188" s="25"/>
      <c r="B188" s="25"/>
      <c r="C188" s="25"/>
      <c r="D188" s="55"/>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4.25" customHeight="1">
      <c r="A189" s="25"/>
      <c r="B189" s="25"/>
      <c r="C189" s="25"/>
      <c r="D189" s="55"/>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4.25" customHeight="1">
      <c r="A190" s="25"/>
      <c r="B190" s="25"/>
      <c r="C190" s="25"/>
      <c r="D190" s="55"/>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4.25" customHeight="1">
      <c r="A191" s="25"/>
      <c r="B191" s="25"/>
      <c r="C191" s="25"/>
      <c r="D191" s="55"/>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4.25" customHeight="1">
      <c r="A192" s="25"/>
      <c r="B192" s="25"/>
      <c r="C192" s="25"/>
      <c r="D192" s="55"/>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4.25" customHeight="1">
      <c r="A193" s="25"/>
      <c r="B193" s="25"/>
      <c r="C193" s="25"/>
      <c r="D193" s="55"/>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4.25" customHeight="1">
      <c r="A194" s="25"/>
      <c r="B194" s="25"/>
      <c r="C194" s="25"/>
      <c r="D194" s="55"/>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4.25" customHeight="1">
      <c r="A195" s="25"/>
      <c r="B195" s="25"/>
      <c r="C195" s="25"/>
      <c r="D195" s="55"/>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4.25" customHeight="1">
      <c r="A196" s="25"/>
      <c r="B196" s="25"/>
      <c r="C196" s="25"/>
      <c r="D196" s="55"/>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4.25" customHeight="1">
      <c r="A197" s="25"/>
      <c r="B197" s="25"/>
      <c r="C197" s="25"/>
      <c r="D197" s="55"/>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4.25" customHeight="1">
      <c r="A198" s="25"/>
      <c r="B198" s="25"/>
      <c r="C198" s="25"/>
      <c r="D198" s="55"/>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4.25" customHeight="1">
      <c r="A199" s="25"/>
      <c r="B199" s="25"/>
      <c r="C199" s="25"/>
      <c r="D199" s="55"/>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4.25" customHeight="1">
      <c r="A200" s="25"/>
      <c r="B200" s="25"/>
      <c r="C200" s="25"/>
      <c r="D200" s="55"/>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4.25" customHeight="1">
      <c r="A201" s="25"/>
      <c r="B201" s="25"/>
      <c r="C201" s="25"/>
      <c r="D201" s="55"/>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4.25" customHeight="1">
      <c r="A202" s="25"/>
      <c r="B202" s="25"/>
      <c r="C202" s="25"/>
      <c r="D202" s="55"/>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4.25" customHeight="1">
      <c r="A203" s="25"/>
      <c r="B203" s="25"/>
      <c r="C203" s="25"/>
      <c r="D203" s="55"/>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4.25" customHeight="1">
      <c r="A204" s="25"/>
      <c r="B204" s="25"/>
      <c r="C204" s="25"/>
      <c r="D204" s="55"/>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4.25" customHeight="1">
      <c r="A205" s="25"/>
      <c r="B205" s="25"/>
      <c r="C205" s="25"/>
      <c r="D205" s="55"/>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4.25" customHeight="1">
      <c r="A206" s="25"/>
      <c r="B206" s="25"/>
      <c r="C206" s="25"/>
      <c r="D206" s="55"/>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4.25" customHeight="1">
      <c r="A207" s="25"/>
      <c r="B207" s="25"/>
      <c r="C207" s="25"/>
      <c r="D207" s="55"/>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4.25" customHeight="1">
      <c r="A208" s="25"/>
      <c r="B208" s="25"/>
      <c r="C208" s="25"/>
      <c r="D208" s="55"/>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4.25" customHeight="1">
      <c r="A209" s="25"/>
      <c r="B209" s="25"/>
      <c r="C209" s="25"/>
      <c r="D209" s="55"/>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4.25" customHeight="1">
      <c r="A210" s="25"/>
      <c r="B210" s="25"/>
      <c r="C210" s="25"/>
      <c r="D210" s="55"/>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4.25" customHeight="1">
      <c r="A211" s="25"/>
      <c r="B211" s="25"/>
      <c r="C211" s="25"/>
      <c r="D211" s="55"/>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4.25" customHeight="1">
      <c r="A212" s="25"/>
      <c r="B212" s="25"/>
      <c r="C212" s="25"/>
      <c r="D212" s="55"/>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4.25" customHeight="1">
      <c r="A213" s="25"/>
      <c r="B213" s="25"/>
      <c r="C213" s="25"/>
      <c r="D213" s="55"/>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4.25" customHeight="1">
      <c r="A214" s="25"/>
      <c r="B214" s="25"/>
      <c r="C214" s="25"/>
      <c r="D214" s="55"/>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4.25" customHeight="1">
      <c r="A215" s="25"/>
      <c r="B215" s="25"/>
      <c r="C215" s="25"/>
      <c r="D215" s="55"/>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4.25" customHeight="1">
      <c r="A216" s="25"/>
      <c r="B216" s="25"/>
      <c r="C216" s="25"/>
      <c r="D216" s="55"/>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4.25" customHeight="1">
      <c r="A217" s="25"/>
      <c r="B217" s="25"/>
      <c r="C217" s="25"/>
      <c r="D217" s="55"/>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4.25" customHeight="1">
      <c r="A218" s="25"/>
      <c r="B218" s="25"/>
      <c r="C218" s="25"/>
      <c r="D218" s="55"/>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4.25" customHeight="1">
      <c r="A219" s="25"/>
      <c r="B219" s="25"/>
      <c r="C219" s="25"/>
      <c r="D219" s="55"/>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4.25" customHeight="1">
      <c r="A220" s="25"/>
      <c r="B220" s="25"/>
      <c r="C220" s="25"/>
      <c r="D220" s="55"/>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4.25" customHeight="1"/>
    <row r="224" spans="1:2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L1"/>
    <mergeCell ref="A15:D15"/>
    <mergeCell ref="F17:G17"/>
    <mergeCell ref="B22:B26"/>
    <mergeCell ref="J4:L4"/>
    <mergeCell ref="F21:H21"/>
    <mergeCell ref="J3:L3"/>
    <mergeCell ref="J21:L21"/>
    <mergeCell ref="B16:D16"/>
    <mergeCell ref="F3:G3"/>
    <mergeCell ref="F22:H26"/>
    <mergeCell ref="A2:L2"/>
    <mergeCell ref="F19:H19"/>
    <mergeCell ref="D22:D26"/>
    <mergeCell ref="J22:L26"/>
  </mergeCells>
  <conditionalFormatting sqref="B19 D19 F19">
    <cfRule type="expression" dxfId="23" priority="1">
      <formula>LEN(TRIM(B19))=0</formula>
    </cfRule>
  </conditionalFormatting>
  <conditionalFormatting sqref="B22 D22 F22:G22">
    <cfRule type="expression" dxfId="22" priority="2">
      <formula>LEN(TRIM(B22))=0</formula>
    </cfRule>
  </conditionalFormatting>
  <conditionalFormatting sqref="D3:D5">
    <cfRule type="expression" dxfId="21" priority="3">
      <formula>LEN(TRIM(D3))=0</formula>
    </cfRule>
  </conditionalFormatting>
  <conditionalFormatting sqref="F16">
    <cfRule type="cellIs" dxfId="20" priority="4" operator="lessThan">
      <formula>10</formula>
    </cfRule>
    <cfRule type="cellIs" dxfId="19" priority="5" operator="greaterThanOrEqual">
      <formula>10</formula>
    </cfRule>
  </conditionalFormatting>
  <conditionalFormatting sqref="G7:L14">
    <cfRule type="expression" dxfId="18" priority="6">
      <formula>LEN(TRIM(G7))=0</formula>
    </cfRule>
  </conditionalFormatting>
  <conditionalFormatting sqref="H3">
    <cfRule type="expression" dxfId="17" priority="7">
      <formula>LEN(TRIM(H3))=0</formula>
    </cfRule>
  </conditionalFormatting>
  <conditionalFormatting sqref="J22">
    <cfRule type="expression" dxfId="16" priority="8">
      <formula>LEN(TRIM(J22))=0</formula>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showGridLines="0" workbookViewId="0"/>
  </sheetViews>
  <sheetFormatPr baseColWidth="10" defaultColWidth="12.625" defaultRowHeight="15" customHeight="1"/>
  <cols>
    <col min="1" max="1" width="4.75" customWidth="1"/>
    <col min="2" max="2" width="42.875" customWidth="1"/>
    <col min="3" max="3" width="1.25" customWidth="1"/>
    <col min="4" max="4" width="43.25" customWidth="1"/>
    <col min="5" max="5" width="1.25" customWidth="1"/>
    <col min="6" max="7" width="9.125" customWidth="1"/>
    <col min="8" max="8" width="28.875" customWidth="1"/>
    <col min="9" max="9" width="9.125" customWidth="1"/>
    <col min="10" max="10" width="28.875" customWidth="1"/>
    <col min="11" max="11" width="9.125" customWidth="1"/>
    <col min="12" max="12" width="28.875" customWidth="1"/>
  </cols>
  <sheetData>
    <row r="1" spans="1:27" ht="39" customHeight="1">
      <c r="A1" s="100" t="s">
        <v>40</v>
      </c>
      <c r="B1" s="92"/>
      <c r="C1" s="92"/>
      <c r="D1" s="92"/>
      <c r="E1" s="92"/>
      <c r="F1" s="92"/>
      <c r="G1" s="92"/>
      <c r="H1" s="92"/>
      <c r="I1" s="92"/>
      <c r="J1" s="92"/>
      <c r="K1" s="92"/>
      <c r="L1" s="92"/>
      <c r="M1" s="17"/>
      <c r="N1" s="17"/>
      <c r="O1" s="17"/>
      <c r="P1" s="17"/>
      <c r="Q1" s="17"/>
      <c r="R1" s="17"/>
      <c r="S1" s="17"/>
      <c r="T1" s="17"/>
      <c r="U1" s="17"/>
      <c r="V1" s="17"/>
      <c r="W1" s="17"/>
      <c r="X1" s="17"/>
      <c r="Y1" s="17"/>
      <c r="Z1" s="17"/>
      <c r="AA1" s="17"/>
    </row>
    <row r="2" spans="1:27" ht="63" customHeight="1">
      <c r="A2" s="97" t="s">
        <v>41</v>
      </c>
      <c r="B2" s="92"/>
      <c r="C2" s="92"/>
      <c r="D2" s="92"/>
      <c r="E2" s="92"/>
      <c r="F2" s="92"/>
      <c r="G2" s="92"/>
      <c r="H2" s="92"/>
      <c r="I2" s="92"/>
      <c r="J2" s="92"/>
      <c r="K2" s="92"/>
      <c r="L2" s="92"/>
      <c r="M2" s="17"/>
      <c r="N2" s="17"/>
      <c r="O2" s="17"/>
      <c r="P2" s="17"/>
      <c r="Q2" s="17"/>
      <c r="R2" s="17"/>
      <c r="S2" s="17"/>
      <c r="T2" s="17"/>
      <c r="U2" s="17"/>
      <c r="V2" s="17"/>
      <c r="W2" s="17"/>
      <c r="X2" s="17"/>
      <c r="Y2" s="17"/>
      <c r="Z2" s="17"/>
      <c r="AA2" s="17"/>
    </row>
    <row r="3" spans="1:27" ht="14.25" customHeight="1">
      <c r="A3" s="18"/>
      <c r="B3" s="19" t="s">
        <v>42</v>
      </c>
      <c r="C3" s="20"/>
      <c r="D3" s="21" t="str">
        <f>IF('Ordre de passage'!C12="","",'Ordre de passage'!C12)</f>
        <v>DOUMENC</v>
      </c>
      <c r="E3" s="19"/>
      <c r="F3" s="95" t="s">
        <v>43</v>
      </c>
      <c r="G3" s="92"/>
      <c r="H3" s="22">
        <f>IF('Ordre de passage'!D4="","",'Ordre de passage'!D4)</f>
        <v>46178</v>
      </c>
      <c r="I3" s="1"/>
      <c r="J3" s="105" t="s">
        <v>44</v>
      </c>
      <c r="K3" s="92"/>
      <c r="L3" s="92"/>
      <c r="M3" s="17"/>
      <c r="N3" s="17"/>
      <c r="O3" s="17"/>
      <c r="P3" s="17"/>
      <c r="Q3" s="17"/>
      <c r="R3" s="17"/>
      <c r="S3" s="17"/>
      <c r="T3" s="17"/>
      <c r="U3" s="17"/>
      <c r="V3" s="17"/>
      <c r="W3" s="17"/>
      <c r="X3" s="17"/>
      <c r="Y3" s="17"/>
      <c r="Z3" s="17"/>
      <c r="AA3" s="17"/>
    </row>
    <row r="4" spans="1:27" ht="14.25" customHeight="1">
      <c r="A4" s="18"/>
      <c r="B4" s="19" t="s">
        <v>45</v>
      </c>
      <c r="C4" s="23"/>
      <c r="D4" s="21" t="str">
        <f>IF('Ordre de passage'!D12="","",'Ordre de passage'!D12)</f>
        <v>Christophe</v>
      </c>
      <c r="E4" s="18"/>
      <c r="F4" s="18"/>
      <c r="H4" s="24"/>
      <c r="I4" s="24"/>
      <c r="J4" s="103" t="s">
        <v>46</v>
      </c>
      <c r="K4" s="92"/>
      <c r="L4" s="92"/>
      <c r="M4" s="17"/>
      <c r="N4" s="17"/>
      <c r="O4" s="17"/>
      <c r="P4" s="17"/>
      <c r="Q4" s="17"/>
      <c r="R4" s="17"/>
      <c r="S4" s="17"/>
      <c r="T4" s="17"/>
      <c r="U4" s="17"/>
      <c r="V4" s="17"/>
      <c r="W4" s="17"/>
      <c r="X4" s="17"/>
      <c r="Y4" s="17"/>
      <c r="Z4" s="17"/>
      <c r="AA4" s="17"/>
    </row>
    <row r="5" spans="1:27" ht="14.25" customHeight="1">
      <c r="A5" s="25"/>
      <c r="B5" s="19" t="s">
        <v>47</v>
      </c>
      <c r="C5" s="20"/>
      <c r="D5" s="21" t="str">
        <f>IF('Ordre de passage'!B12="","",'Ordre de passage'!B12)</f>
        <v>13:30 - 14:30</v>
      </c>
      <c r="E5" s="26"/>
      <c r="F5" s="26"/>
      <c r="G5" s="26"/>
      <c r="H5" s="26"/>
      <c r="I5" s="1"/>
      <c r="J5" s="17"/>
      <c r="K5" s="17"/>
      <c r="L5" s="17"/>
      <c r="M5" s="17"/>
      <c r="N5" s="17"/>
      <c r="O5" s="17"/>
      <c r="P5" s="17"/>
      <c r="Q5" s="17"/>
      <c r="R5" s="17"/>
      <c r="S5" s="17"/>
      <c r="T5" s="17"/>
      <c r="U5" s="17"/>
      <c r="V5" s="17"/>
      <c r="W5" s="17"/>
      <c r="X5" s="17"/>
      <c r="Y5" s="17"/>
      <c r="Z5" s="17"/>
      <c r="AA5" s="17"/>
    </row>
    <row r="6" spans="1:27" ht="48.75" customHeight="1">
      <c r="A6" s="27"/>
      <c r="B6" s="28" t="s">
        <v>48</v>
      </c>
      <c r="C6" s="28"/>
      <c r="D6" s="28" t="s">
        <v>49</v>
      </c>
      <c r="E6" s="28"/>
      <c r="F6" s="29" t="s">
        <v>50</v>
      </c>
      <c r="G6" s="30" t="s">
        <v>51</v>
      </c>
      <c r="H6" s="30" t="s">
        <v>52</v>
      </c>
      <c r="I6" s="30" t="s">
        <v>53</v>
      </c>
      <c r="J6" s="30" t="s">
        <v>54</v>
      </c>
      <c r="K6" s="30" t="s">
        <v>55</v>
      </c>
      <c r="L6" s="30" t="s">
        <v>56</v>
      </c>
      <c r="M6" s="17"/>
      <c r="N6" s="17"/>
      <c r="O6" s="17"/>
      <c r="P6" s="17"/>
      <c r="Q6" s="17"/>
      <c r="R6" s="17"/>
      <c r="S6" s="17"/>
      <c r="T6" s="17"/>
      <c r="U6" s="17"/>
      <c r="V6" s="17"/>
      <c r="W6" s="17"/>
      <c r="X6" s="17"/>
      <c r="Y6" s="17"/>
      <c r="Z6" s="17"/>
      <c r="AA6" s="17"/>
    </row>
    <row r="7" spans="1:27" ht="60" customHeight="1">
      <c r="A7" s="31" t="s">
        <v>57</v>
      </c>
      <c r="B7" s="32" t="s">
        <v>58</v>
      </c>
      <c r="C7" s="33"/>
      <c r="D7" s="34" t="s">
        <v>59</v>
      </c>
      <c r="E7" s="35"/>
      <c r="F7" s="36">
        <v>2</v>
      </c>
      <c r="G7" s="36">
        <v>2</v>
      </c>
      <c r="H7" s="37" t="s">
        <v>142</v>
      </c>
      <c r="I7" s="36">
        <v>2</v>
      </c>
      <c r="J7" s="37" t="s">
        <v>143</v>
      </c>
      <c r="K7" s="36"/>
      <c r="L7" s="37"/>
      <c r="M7" s="17"/>
      <c r="N7" s="17"/>
      <c r="O7" s="17"/>
      <c r="P7" s="17"/>
      <c r="Q7" s="17"/>
      <c r="R7" s="17"/>
      <c r="S7" s="17"/>
      <c r="T7" s="17"/>
      <c r="U7" s="17"/>
      <c r="V7" s="17"/>
      <c r="W7" s="17"/>
      <c r="X7" s="17"/>
      <c r="Y7" s="17"/>
      <c r="Z7" s="17"/>
      <c r="AA7" s="17"/>
    </row>
    <row r="8" spans="1:27" ht="72" customHeight="1">
      <c r="A8" s="31" t="s">
        <v>62</v>
      </c>
      <c r="B8" s="38" t="s">
        <v>63</v>
      </c>
      <c r="C8" s="39"/>
      <c r="D8" s="40" t="s">
        <v>64</v>
      </c>
      <c r="E8" s="35"/>
      <c r="F8" s="36">
        <v>2</v>
      </c>
      <c r="G8" s="36">
        <v>1.5</v>
      </c>
      <c r="H8" s="37" t="s">
        <v>144</v>
      </c>
      <c r="I8" s="36">
        <v>2</v>
      </c>
      <c r="J8" s="37" t="s">
        <v>145</v>
      </c>
      <c r="K8" s="36"/>
      <c r="L8" s="37"/>
      <c r="M8" s="17"/>
      <c r="N8" s="17"/>
      <c r="O8" s="17"/>
      <c r="P8" s="17"/>
      <c r="Q8" s="17"/>
      <c r="R8" s="17"/>
      <c r="S8" s="17"/>
      <c r="T8" s="17"/>
      <c r="U8" s="17"/>
      <c r="V8" s="17"/>
      <c r="W8" s="17"/>
      <c r="X8" s="17"/>
      <c r="Y8" s="17"/>
      <c r="Z8" s="17"/>
      <c r="AA8" s="17"/>
    </row>
    <row r="9" spans="1:27" ht="148.5" customHeight="1">
      <c r="A9" s="31" t="s">
        <v>67</v>
      </c>
      <c r="B9" s="38" t="s">
        <v>68</v>
      </c>
      <c r="C9" s="39"/>
      <c r="D9" s="40" t="s">
        <v>69</v>
      </c>
      <c r="E9" s="35"/>
      <c r="F9" s="36">
        <v>2</v>
      </c>
      <c r="G9" s="36">
        <v>1</v>
      </c>
      <c r="H9" s="37" t="s">
        <v>146</v>
      </c>
      <c r="I9" s="36">
        <v>1</v>
      </c>
      <c r="J9" s="37" t="s">
        <v>147</v>
      </c>
      <c r="K9" s="36"/>
      <c r="L9" s="37"/>
      <c r="M9" s="17"/>
      <c r="N9" s="17"/>
      <c r="O9" s="17"/>
      <c r="P9" s="17"/>
      <c r="Q9" s="17"/>
      <c r="R9" s="17"/>
      <c r="S9" s="17"/>
      <c r="T9" s="17"/>
      <c r="U9" s="17"/>
      <c r="V9" s="17"/>
      <c r="W9" s="17"/>
      <c r="X9" s="17"/>
      <c r="Y9" s="17"/>
      <c r="Z9" s="17"/>
      <c r="AA9" s="17"/>
    </row>
    <row r="10" spans="1:27" ht="71.25" customHeight="1">
      <c r="A10" s="31" t="s">
        <v>72</v>
      </c>
      <c r="B10" s="38" t="s">
        <v>73</v>
      </c>
      <c r="C10" s="39"/>
      <c r="D10" s="40" t="s">
        <v>74</v>
      </c>
      <c r="E10" s="35"/>
      <c r="F10" s="36">
        <v>2</v>
      </c>
      <c r="G10" s="36">
        <v>2</v>
      </c>
      <c r="H10" s="37" t="s">
        <v>148</v>
      </c>
      <c r="I10" s="36">
        <v>2</v>
      </c>
      <c r="J10" s="37" t="s">
        <v>149</v>
      </c>
      <c r="K10" s="36"/>
      <c r="L10" s="37"/>
      <c r="M10" s="17"/>
      <c r="N10" s="17"/>
      <c r="O10" s="17"/>
      <c r="P10" s="17"/>
      <c r="Q10" s="17"/>
      <c r="R10" s="17"/>
      <c r="S10" s="17"/>
      <c r="T10" s="17"/>
      <c r="U10" s="17"/>
      <c r="V10" s="17"/>
      <c r="W10" s="17"/>
      <c r="X10" s="17"/>
      <c r="Y10" s="17"/>
      <c r="Z10" s="17"/>
      <c r="AA10" s="17"/>
    </row>
    <row r="11" spans="1:27" ht="72" customHeight="1">
      <c r="A11" s="31" t="s">
        <v>77</v>
      </c>
      <c r="B11" s="38" t="s">
        <v>78</v>
      </c>
      <c r="C11" s="39"/>
      <c r="D11" s="40" t="s">
        <v>79</v>
      </c>
      <c r="E11" s="35"/>
      <c r="F11" s="36">
        <v>2</v>
      </c>
      <c r="G11" s="36">
        <v>1.5</v>
      </c>
      <c r="H11" s="37" t="s">
        <v>150</v>
      </c>
      <c r="I11" s="36">
        <v>1.5</v>
      </c>
      <c r="J11" s="37" t="s">
        <v>151</v>
      </c>
      <c r="K11" s="36"/>
      <c r="L11" s="37"/>
      <c r="M11" s="17"/>
      <c r="N11" s="17"/>
      <c r="O11" s="17"/>
      <c r="P11" s="17"/>
      <c r="Q11" s="17"/>
      <c r="R11" s="17"/>
      <c r="S11" s="17"/>
      <c r="T11" s="17"/>
      <c r="U11" s="17"/>
      <c r="V11" s="17"/>
      <c r="W11" s="17"/>
      <c r="X11" s="17"/>
      <c r="Y11" s="17"/>
      <c r="Z11" s="17"/>
      <c r="AA11" s="17"/>
    </row>
    <row r="12" spans="1:27" ht="82.5" customHeight="1">
      <c r="A12" s="41" t="s">
        <v>82</v>
      </c>
      <c r="B12" s="38" t="s">
        <v>83</v>
      </c>
      <c r="C12" s="39"/>
      <c r="D12" s="40" t="s">
        <v>84</v>
      </c>
      <c r="E12" s="35"/>
      <c r="F12" s="36">
        <v>2</v>
      </c>
      <c r="G12" s="36">
        <v>2</v>
      </c>
      <c r="H12" s="37" t="s">
        <v>152</v>
      </c>
      <c r="I12" s="36">
        <v>1.5</v>
      </c>
      <c r="J12" s="37" t="s">
        <v>153</v>
      </c>
      <c r="K12" s="36"/>
      <c r="L12" s="37"/>
      <c r="M12" s="17"/>
      <c r="N12" s="17"/>
      <c r="O12" s="17"/>
      <c r="P12" s="17"/>
      <c r="Q12" s="17"/>
      <c r="R12" s="17"/>
      <c r="S12" s="17"/>
      <c r="T12" s="17"/>
      <c r="U12" s="17"/>
      <c r="V12" s="17"/>
      <c r="W12" s="17"/>
      <c r="X12" s="17"/>
      <c r="Y12" s="17"/>
      <c r="Z12" s="17"/>
      <c r="AA12" s="17"/>
    </row>
    <row r="13" spans="1:27" ht="83.25" customHeight="1">
      <c r="A13" s="42" t="s">
        <v>87</v>
      </c>
      <c r="B13" s="38" t="s">
        <v>88</v>
      </c>
      <c r="C13" s="39"/>
      <c r="D13" s="40" t="s">
        <v>89</v>
      </c>
      <c r="E13" s="43"/>
      <c r="F13" s="36">
        <v>5</v>
      </c>
      <c r="G13" s="36">
        <v>4</v>
      </c>
      <c r="H13" s="37" t="s">
        <v>154</v>
      </c>
      <c r="I13" s="36">
        <v>3</v>
      </c>
      <c r="J13" s="37" t="s">
        <v>155</v>
      </c>
      <c r="K13" s="36"/>
      <c r="L13" s="37"/>
      <c r="M13" s="17"/>
      <c r="N13" s="17"/>
      <c r="O13" s="17"/>
      <c r="P13" s="17"/>
      <c r="Q13" s="17"/>
      <c r="R13" s="17"/>
      <c r="S13" s="17"/>
      <c r="T13" s="17"/>
      <c r="U13" s="17"/>
      <c r="V13" s="17"/>
      <c r="W13" s="17"/>
      <c r="X13" s="17"/>
      <c r="Y13" s="17"/>
      <c r="Z13" s="17"/>
      <c r="AA13" s="17"/>
    </row>
    <row r="14" spans="1:27" ht="39.75" customHeight="1">
      <c r="A14" s="42" t="s">
        <v>92</v>
      </c>
      <c r="B14" s="38" t="s">
        <v>93</v>
      </c>
      <c r="C14" s="39"/>
      <c r="D14" s="40" t="s">
        <v>94</v>
      </c>
      <c r="E14" s="43"/>
      <c r="F14" s="36">
        <v>3</v>
      </c>
      <c r="G14" s="36">
        <v>3</v>
      </c>
      <c r="H14" s="37" t="s">
        <v>156</v>
      </c>
      <c r="I14" s="36">
        <v>2.5</v>
      </c>
      <c r="J14" s="37" t="s">
        <v>157</v>
      </c>
      <c r="K14" s="36"/>
      <c r="L14" s="37"/>
      <c r="M14" s="17"/>
      <c r="N14" s="17"/>
      <c r="O14" s="17"/>
      <c r="P14" s="17"/>
      <c r="Q14" s="17"/>
      <c r="R14" s="17"/>
      <c r="S14" s="17"/>
      <c r="T14" s="17"/>
      <c r="U14" s="17"/>
      <c r="V14" s="17"/>
      <c r="W14" s="17"/>
      <c r="X14" s="17"/>
      <c r="Y14" s="17"/>
      <c r="Z14" s="17"/>
      <c r="AA14" s="17"/>
    </row>
    <row r="15" spans="1:27" ht="27.75" customHeight="1">
      <c r="A15" s="101" t="s">
        <v>97</v>
      </c>
      <c r="B15" s="92"/>
      <c r="C15" s="92"/>
      <c r="D15" s="92"/>
      <c r="E15" s="44"/>
      <c r="F15" s="45">
        <f>SUM(F7:F14)</f>
        <v>20</v>
      </c>
      <c r="G15" s="46">
        <f>SUM(G7:G14)</f>
        <v>17</v>
      </c>
      <c r="H15" s="17"/>
      <c r="I15" s="46">
        <f>SUM(I7:I14)</f>
        <v>15.5</v>
      </c>
      <c r="J15" s="17"/>
      <c r="K15" s="46">
        <f>SUM(K7:K14)</f>
        <v>0</v>
      </c>
      <c r="L15" s="17"/>
      <c r="M15" s="17"/>
      <c r="N15" s="17"/>
      <c r="O15" s="17"/>
      <c r="P15" s="17"/>
      <c r="Q15" s="17"/>
      <c r="R15" s="17"/>
      <c r="S15" s="17"/>
      <c r="T15" s="17"/>
      <c r="U15" s="17"/>
      <c r="V15" s="17"/>
      <c r="W15" s="17"/>
      <c r="X15" s="17"/>
      <c r="Y15" s="17"/>
      <c r="Z15" s="17"/>
      <c r="AA15" s="17"/>
    </row>
    <row r="16" spans="1:27" ht="34.5" customHeight="1">
      <c r="A16" s="25"/>
      <c r="B16" s="98" t="s">
        <v>98</v>
      </c>
      <c r="C16" s="92"/>
      <c r="D16" s="92"/>
      <c r="E16" s="47"/>
      <c r="F16" s="48">
        <f>(G15+I15+K15)/2</f>
        <v>16.25</v>
      </c>
      <c r="G16" s="49"/>
      <c r="H16" s="49"/>
      <c r="I16" s="17"/>
      <c r="J16" s="17"/>
      <c r="K16" s="17"/>
      <c r="L16" s="17"/>
      <c r="M16" s="17"/>
      <c r="N16" s="17"/>
      <c r="O16" s="17"/>
      <c r="P16" s="17"/>
      <c r="Q16" s="17"/>
      <c r="R16" s="17"/>
      <c r="S16" s="17"/>
      <c r="T16" s="17"/>
      <c r="U16" s="17"/>
      <c r="V16" s="17"/>
      <c r="W16" s="17"/>
      <c r="X16" s="17"/>
      <c r="Y16" s="17"/>
      <c r="Z16" s="17"/>
      <c r="AA16" s="17"/>
    </row>
    <row r="17" spans="1:27" ht="24.75" customHeight="1">
      <c r="A17" s="25"/>
      <c r="C17" s="50"/>
      <c r="D17" s="50"/>
      <c r="E17" s="51"/>
      <c r="F17" s="102" t="s">
        <v>99</v>
      </c>
      <c r="G17" s="92"/>
      <c r="H17" s="49"/>
      <c r="I17" s="17"/>
      <c r="J17" s="17"/>
      <c r="K17" s="17"/>
      <c r="L17" s="17"/>
      <c r="M17" s="17"/>
      <c r="N17" s="17"/>
      <c r="O17" s="17"/>
      <c r="P17" s="17"/>
      <c r="Q17" s="17"/>
      <c r="R17" s="17"/>
      <c r="S17" s="17"/>
      <c r="T17" s="17"/>
      <c r="U17" s="17"/>
      <c r="V17" s="17"/>
      <c r="W17" s="17"/>
      <c r="X17" s="17"/>
      <c r="Y17" s="17"/>
      <c r="Z17" s="17"/>
      <c r="AA17" s="17"/>
    </row>
    <row r="18" spans="1:27" ht="27.75" customHeight="1">
      <c r="A18" s="25"/>
      <c r="B18" s="50" t="s">
        <v>1</v>
      </c>
      <c r="C18" s="50"/>
      <c r="G18" s="52"/>
      <c r="H18" s="52"/>
      <c r="I18" s="17"/>
      <c r="J18" s="17"/>
      <c r="K18" s="17"/>
      <c r="L18" s="17"/>
      <c r="M18" s="17"/>
      <c r="N18" s="17"/>
      <c r="O18" s="17"/>
      <c r="P18" s="17"/>
      <c r="Q18" s="17"/>
      <c r="R18" s="17"/>
      <c r="S18" s="17"/>
      <c r="T18" s="17"/>
      <c r="U18" s="17"/>
      <c r="V18" s="17"/>
      <c r="W18" s="17"/>
      <c r="X18" s="17"/>
      <c r="Y18" s="17"/>
      <c r="Z18" s="17"/>
      <c r="AA18" s="17"/>
    </row>
    <row r="19" spans="1:27" ht="27.75" customHeight="1">
      <c r="A19" s="25"/>
      <c r="B19" s="21" t="str">
        <f>'Ordre de passage'!F3</f>
        <v>Tom FOURNAISE</v>
      </c>
      <c r="D19" s="21" t="str">
        <f>'Ordre de passage'!G3</f>
        <v>Djody BENCHADI</v>
      </c>
      <c r="E19" s="21"/>
      <c r="F19" s="98">
        <f>'Ordre de passage'!H3</f>
        <v>0</v>
      </c>
      <c r="G19" s="92"/>
      <c r="H19" s="92"/>
      <c r="I19" s="17"/>
      <c r="J19" s="17"/>
      <c r="K19" s="17"/>
      <c r="L19" s="17"/>
      <c r="M19" s="17"/>
      <c r="N19" s="17"/>
      <c r="O19" s="17"/>
      <c r="P19" s="17"/>
      <c r="Q19" s="17"/>
      <c r="R19" s="17"/>
      <c r="S19" s="17"/>
      <c r="T19" s="17"/>
      <c r="U19" s="17"/>
      <c r="V19" s="17"/>
      <c r="W19" s="17"/>
      <c r="X19" s="17"/>
      <c r="Y19" s="17"/>
      <c r="Z19" s="17"/>
      <c r="AA19" s="17"/>
    </row>
    <row r="20" spans="1:27" ht="8.25" customHeight="1">
      <c r="A20" s="25"/>
      <c r="E20" s="53"/>
      <c r="F20" s="53"/>
      <c r="G20" s="53"/>
      <c r="H20" s="53"/>
      <c r="I20" s="17"/>
      <c r="J20" s="17"/>
      <c r="K20" s="17"/>
      <c r="L20" s="17"/>
      <c r="M20" s="17"/>
      <c r="N20" s="17"/>
      <c r="O20" s="17"/>
      <c r="P20" s="17"/>
      <c r="Q20" s="17"/>
      <c r="R20" s="17"/>
      <c r="S20" s="17"/>
      <c r="T20" s="17"/>
      <c r="U20" s="17"/>
      <c r="V20" s="17"/>
      <c r="W20" s="17"/>
      <c r="X20" s="17"/>
      <c r="Y20" s="17"/>
      <c r="Z20" s="17"/>
      <c r="AA20" s="17"/>
    </row>
    <row r="21" spans="1:27" ht="25.5" customHeight="1">
      <c r="A21" s="25"/>
      <c r="B21" s="54" t="s">
        <v>100</v>
      </c>
      <c r="C21" s="55"/>
      <c r="D21" s="54" t="s">
        <v>101</v>
      </c>
      <c r="E21" s="54"/>
      <c r="F21" s="104" t="s">
        <v>102</v>
      </c>
      <c r="G21" s="92"/>
      <c r="H21" s="92"/>
      <c r="I21" s="17"/>
      <c r="J21" s="104" t="s">
        <v>103</v>
      </c>
      <c r="K21" s="92"/>
      <c r="L21" s="92"/>
      <c r="M21" s="17"/>
      <c r="N21" s="17"/>
      <c r="O21" s="17"/>
      <c r="P21" s="17"/>
      <c r="Q21" s="17"/>
      <c r="R21" s="17"/>
      <c r="S21" s="17"/>
      <c r="T21" s="17"/>
      <c r="U21" s="17"/>
      <c r="V21" s="17"/>
      <c r="W21" s="17"/>
      <c r="X21" s="17"/>
      <c r="Y21" s="17"/>
      <c r="Z21" s="17"/>
      <c r="AA21" s="17"/>
    </row>
    <row r="22" spans="1:27" ht="25.5" customHeight="1">
      <c r="A22" s="25"/>
      <c r="B22" s="96" t="s">
        <v>158</v>
      </c>
      <c r="C22" s="50"/>
      <c r="D22" s="96" t="s">
        <v>159</v>
      </c>
      <c r="E22" s="50"/>
      <c r="F22" s="96"/>
      <c r="G22" s="92"/>
      <c r="H22" s="92"/>
      <c r="I22" s="17"/>
      <c r="J22" s="99">
        <f>IF('Ordre de passage'!D4="","",'Ordre de passage'!D4)</f>
        <v>46178</v>
      </c>
      <c r="K22" s="92"/>
      <c r="L22" s="92"/>
      <c r="M22" s="17"/>
      <c r="N22" s="17"/>
      <c r="O22" s="17"/>
      <c r="P22" s="17"/>
      <c r="Q22" s="17"/>
      <c r="R22" s="17"/>
      <c r="S22" s="17"/>
      <c r="T22" s="17"/>
      <c r="U22" s="17"/>
      <c r="V22" s="17"/>
      <c r="W22" s="17"/>
      <c r="X22" s="17"/>
      <c r="Y22" s="17"/>
      <c r="Z22" s="17"/>
      <c r="AA22" s="17"/>
    </row>
    <row r="23" spans="1:27" ht="14.25" customHeight="1">
      <c r="A23" s="25"/>
      <c r="B23" s="92"/>
      <c r="C23" s="55"/>
      <c r="D23" s="92"/>
      <c r="E23" s="53"/>
      <c r="F23" s="92"/>
      <c r="G23" s="92"/>
      <c r="H23" s="92"/>
      <c r="I23" s="17"/>
      <c r="J23" s="92"/>
      <c r="K23" s="92"/>
      <c r="L23" s="92"/>
      <c r="M23" s="17"/>
      <c r="N23" s="17"/>
      <c r="O23" s="17"/>
      <c r="P23" s="17"/>
      <c r="Q23" s="17"/>
      <c r="R23" s="17"/>
      <c r="S23" s="17"/>
      <c r="T23" s="17"/>
      <c r="U23" s="17"/>
      <c r="V23" s="17"/>
      <c r="W23" s="17"/>
      <c r="X23" s="17"/>
      <c r="Y23" s="17"/>
      <c r="Z23" s="17"/>
      <c r="AA23" s="17"/>
    </row>
    <row r="24" spans="1:27" ht="14.25" customHeight="1">
      <c r="A24" s="25"/>
      <c r="B24" s="92"/>
      <c r="C24" s="25"/>
      <c r="D24" s="92"/>
      <c r="E24" s="53"/>
      <c r="F24" s="92"/>
      <c r="G24" s="92"/>
      <c r="H24" s="92"/>
      <c r="I24" s="17"/>
      <c r="J24" s="92"/>
      <c r="K24" s="92"/>
      <c r="L24" s="92"/>
      <c r="M24" s="17"/>
      <c r="N24" s="17"/>
      <c r="O24" s="17"/>
      <c r="P24" s="17"/>
      <c r="Q24" s="17"/>
      <c r="R24" s="17"/>
      <c r="S24" s="17"/>
      <c r="T24" s="17"/>
      <c r="U24" s="17"/>
      <c r="V24" s="17"/>
      <c r="W24" s="17"/>
      <c r="X24" s="17"/>
      <c r="Y24" s="17"/>
      <c r="Z24" s="17"/>
      <c r="AA24" s="17"/>
    </row>
    <row r="25" spans="1:27" ht="14.25" customHeight="1">
      <c r="A25" s="25"/>
      <c r="B25" s="92"/>
      <c r="C25" s="25"/>
      <c r="D25" s="92"/>
      <c r="E25" s="53"/>
      <c r="F25" s="92"/>
      <c r="G25" s="92"/>
      <c r="H25" s="92"/>
      <c r="I25" s="17"/>
      <c r="J25" s="92"/>
      <c r="K25" s="92"/>
      <c r="L25" s="92"/>
      <c r="M25" s="17"/>
      <c r="N25" s="17"/>
      <c r="O25" s="17"/>
      <c r="P25" s="17"/>
      <c r="Q25" s="17"/>
      <c r="R25" s="17"/>
      <c r="S25" s="17"/>
      <c r="T25" s="17"/>
      <c r="U25" s="17"/>
      <c r="V25" s="17"/>
      <c r="W25" s="17"/>
      <c r="X25" s="17"/>
      <c r="Y25" s="17"/>
      <c r="Z25" s="17"/>
      <c r="AA25" s="17"/>
    </row>
    <row r="26" spans="1:27" ht="14.25" customHeight="1">
      <c r="A26" s="25"/>
      <c r="B26" s="92"/>
      <c r="C26" s="25"/>
      <c r="D26" s="92"/>
      <c r="E26" s="53"/>
      <c r="F26" s="92"/>
      <c r="G26" s="92"/>
      <c r="H26" s="92"/>
      <c r="I26" s="17"/>
      <c r="J26" s="92"/>
      <c r="K26" s="92"/>
      <c r="L26" s="92"/>
      <c r="M26" s="17"/>
      <c r="N26" s="17"/>
      <c r="O26" s="17"/>
      <c r="P26" s="17"/>
      <c r="Q26" s="17"/>
      <c r="R26" s="17"/>
      <c r="S26" s="17"/>
      <c r="T26" s="17"/>
      <c r="U26" s="17"/>
      <c r="V26" s="17"/>
      <c r="W26" s="17"/>
      <c r="X26" s="17"/>
      <c r="Y26" s="17"/>
      <c r="Z26" s="17"/>
      <c r="AA26" s="17"/>
    </row>
    <row r="27" spans="1:27" ht="14.25" customHeight="1">
      <c r="A27" s="25"/>
      <c r="B27" s="25"/>
      <c r="C27" s="25"/>
      <c r="D27" s="55"/>
      <c r="E27" s="17"/>
      <c r="F27" s="17"/>
      <c r="G27" s="17"/>
      <c r="H27" s="17"/>
      <c r="I27" s="17"/>
      <c r="J27" s="17"/>
      <c r="K27" s="17"/>
      <c r="L27" s="17"/>
      <c r="M27" s="17"/>
      <c r="N27" s="17"/>
      <c r="O27" s="17"/>
      <c r="P27" s="17"/>
      <c r="Q27" s="17"/>
      <c r="R27" s="17"/>
      <c r="S27" s="17"/>
      <c r="T27" s="17"/>
      <c r="U27" s="17"/>
      <c r="V27" s="17"/>
      <c r="W27" s="17"/>
      <c r="X27" s="17"/>
      <c r="Y27" s="17"/>
      <c r="Z27" s="17"/>
      <c r="AA27" s="17"/>
    </row>
    <row r="28" spans="1:27" ht="14.25" customHeight="1">
      <c r="A28" s="25"/>
      <c r="B28" s="25"/>
      <c r="C28" s="25"/>
      <c r="D28" s="55"/>
      <c r="E28" s="17"/>
      <c r="F28" s="17"/>
      <c r="G28" s="17"/>
      <c r="H28" s="17"/>
      <c r="I28" s="17"/>
      <c r="J28" s="17"/>
      <c r="K28" s="17"/>
      <c r="L28" s="17"/>
      <c r="M28" s="17"/>
      <c r="N28" s="17"/>
      <c r="O28" s="17"/>
      <c r="P28" s="17"/>
      <c r="Q28" s="17"/>
      <c r="R28" s="17"/>
      <c r="S28" s="17"/>
      <c r="T28" s="17"/>
      <c r="U28" s="17"/>
      <c r="V28" s="17"/>
      <c r="W28" s="17"/>
      <c r="X28" s="17"/>
      <c r="Y28" s="17"/>
      <c r="Z28" s="17"/>
      <c r="AA28" s="17"/>
    </row>
    <row r="29" spans="1:27" ht="14.25" customHeight="1">
      <c r="A29" s="25"/>
      <c r="B29" s="25"/>
      <c r="C29" s="25"/>
      <c r="D29" s="55"/>
      <c r="E29" s="17"/>
      <c r="F29" s="17"/>
      <c r="G29" s="17"/>
      <c r="H29" s="17"/>
      <c r="I29" s="17"/>
      <c r="J29" s="17"/>
      <c r="K29" s="17"/>
      <c r="L29" s="17"/>
      <c r="M29" s="17"/>
      <c r="N29" s="17"/>
      <c r="O29" s="17"/>
      <c r="P29" s="17"/>
      <c r="Q29" s="17"/>
      <c r="R29" s="17"/>
      <c r="S29" s="17"/>
      <c r="T29" s="17"/>
      <c r="U29" s="17"/>
      <c r="V29" s="17"/>
      <c r="W29" s="17"/>
      <c r="X29" s="17"/>
      <c r="Y29" s="17"/>
      <c r="Z29" s="17"/>
      <c r="AA29" s="17"/>
    </row>
    <row r="30" spans="1:27" ht="14.25" customHeight="1">
      <c r="A30" s="25"/>
      <c r="B30" s="25"/>
      <c r="C30" s="25"/>
      <c r="D30" s="55"/>
      <c r="E30" s="17"/>
      <c r="F30" s="17"/>
      <c r="G30" s="17"/>
      <c r="H30" s="17"/>
      <c r="I30" s="17"/>
      <c r="J30" s="17"/>
      <c r="K30" s="17"/>
      <c r="L30" s="17"/>
      <c r="M30" s="17"/>
      <c r="N30" s="17"/>
      <c r="O30" s="17"/>
      <c r="P30" s="17"/>
      <c r="Q30" s="17"/>
      <c r="R30" s="17"/>
      <c r="S30" s="17"/>
      <c r="T30" s="17"/>
      <c r="U30" s="17"/>
      <c r="V30" s="17"/>
      <c r="W30" s="17"/>
      <c r="X30" s="17"/>
      <c r="Y30" s="17"/>
      <c r="Z30" s="17"/>
      <c r="AA30" s="17"/>
    </row>
    <row r="31" spans="1:27" ht="14.25" customHeight="1">
      <c r="A31" s="25"/>
      <c r="B31" s="25"/>
      <c r="C31" s="25"/>
      <c r="D31" s="55"/>
      <c r="E31" s="17"/>
      <c r="F31" s="17"/>
      <c r="G31" s="17"/>
      <c r="H31" s="17"/>
      <c r="I31" s="17"/>
      <c r="J31" s="17"/>
      <c r="K31" s="17"/>
      <c r="L31" s="17"/>
      <c r="M31" s="17"/>
      <c r="N31" s="17"/>
      <c r="O31" s="17"/>
      <c r="P31" s="17"/>
      <c r="Q31" s="17"/>
      <c r="R31" s="17"/>
      <c r="S31" s="17"/>
      <c r="T31" s="17"/>
      <c r="U31" s="17"/>
      <c r="V31" s="17"/>
      <c r="W31" s="17"/>
      <c r="X31" s="17"/>
      <c r="Y31" s="17"/>
      <c r="Z31" s="17"/>
      <c r="AA31" s="17"/>
    </row>
    <row r="32" spans="1:27" ht="14.25" customHeight="1">
      <c r="A32" s="25"/>
      <c r="B32" s="25"/>
      <c r="C32" s="25"/>
      <c r="D32" s="55"/>
      <c r="E32" s="17"/>
      <c r="F32" s="17"/>
      <c r="G32" s="17"/>
      <c r="H32" s="17"/>
      <c r="I32" s="17"/>
      <c r="J32" s="17"/>
      <c r="K32" s="17"/>
      <c r="L32" s="17"/>
      <c r="M32" s="17"/>
      <c r="N32" s="17"/>
      <c r="O32" s="17"/>
      <c r="P32" s="17"/>
      <c r="Q32" s="17"/>
      <c r="R32" s="17"/>
      <c r="S32" s="17"/>
      <c r="T32" s="17"/>
      <c r="U32" s="17"/>
      <c r="V32" s="17"/>
      <c r="W32" s="17"/>
      <c r="X32" s="17"/>
      <c r="Y32" s="17"/>
      <c r="Z32" s="17"/>
      <c r="AA32" s="17"/>
    </row>
    <row r="33" spans="1:27" ht="14.25" customHeight="1">
      <c r="A33" s="25"/>
      <c r="B33" s="25"/>
      <c r="C33" s="25"/>
      <c r="D33" s="55"/>
      <c r="E33" s="17"/>
      <c r="F33" s="17"/>
      <c r="G33" s="17"/>
      <c r="H33" s="17"/>
      <c r="I33" s="17"/>
      <c r="J33" s="17"/>
      <c r="K33" s="17"/>
      <c r="L33" s="17"/>
      <c r="M33" s="17"/>
      <c r="N33" s="17"/>
      <c r="O33" s="17"/>
      <c r="P33" s="17"/>
      <c r="Q33" s="17"/>
      <c r="R33" s="17"/>
      <c r="S33" s="17"/>
      <c r="T33" s="17"/>
      <c r="U33" s="17"/>
      <c r="V33" s="17"/>
      <c r="W33" s="17"/>
      <c r="X33" s="17"/>
      <c r="Y33" s="17"/>
      <c r="Z33" s="17"/>
      <c r="AA33" s="17"/>
    </row>
    <row r="34" spans="1:27" ht="14.25" customHeight="1">
      <c r="A34" s="25"/>
      <c r="B34" s="25"/>
      <c r="C34" s="25"/>
      <c r="D34" s="55"/>
      <c r="E34" s="17"/>
      <c r="F34" s="17"/>
      <c r="G34" s="17"/>
      <c r="H34" s="17"/>
      <c r="I34" s="17"/>
      <c r="J34" s="17"/>
      <c r="K34" s="17"/>
      <c r="L34" s="17"/>
      <c r="M34" s="17"/>
      <c r="N34" s="17"/>
      <c r="O34" s="17"/>
      <c r="P34" s="17"/>
      <c r="Q34" s="17"/>
      <c r="R34" s="17"/>
      <c r="S34" s="17"/>
      <c r="T34" s="17"/>
      <c r="U34" s="17"/>
      <c r="V34" s="17"/>
      <c r="W34" s="17"/>
      <c r="X34" s="17"/>
      <c r="Y34" s="17"/>
      <c r="Z34" s="17"/>
      <c r="AA34" s="17"/>
    </row>
    <row r="35" spans="1:27" ht="14.25" customHeight="1">
      <c r="A35" s="25"/>
      <c r="B35" s="25"/>
      <c r="C35" s="25"/>
      <c r="D35" s="55"/>
      <c r="E35" s="17"/>
      <c r="F35" s="17"/>
      <c r="G35" s="17"/>
      <c r="H35" s="17"/>
      <c r="I35" s="17"/>
      <c r="J35" s="17"/>
      <c r="K35" s="17"/>
      <c r="L35" s="17"/>
      <c r="M35" s="17"/>
      <c r="N35" s="17"/>
      <c r="O35" s="17"/>
      <c r="P35" s="17"/>
      <c r="Q35" s="17"/>
      <c r="R35" s="17"/>
      <c r="S35" s="17"/>
      <c r="T35" s="17"/>
      <c r="U35" s="17"/>
      <c r="V35" s="17"/>
      <c r="W35" s="17"/>
      <c r="X35" s="17"/>
      <c r="Y35" s="17"/>
      <c r="Z35" s="17"/>
      <c r="AA35" s="17"/>
    </row>
    <row r="36" spans="1:27" ht="14.25" customHeight="1">
      <c r="A36" s="25"/>
      <c r="B36" s="25"/>
      <c r="C36" s="25"/>
      <c r="D36" s="55"/>
      <c r="E36" s="17"/>
      <c r="F36" s="17"/>
      <c r="G36" s="17"/>
      <c r="H36" s="17"/>
      <c r="I36" s="17"/>
      <c r="J36" s="17"/>
      <c r="K36" s="17"/>
      <c r="L36" s="17"/>
      <c r="M36" s="17"/>
      <c r="N36" s="17"/>
      <c r="O36" s="17"/>
      <c r="P36" s="17"/>
      <c r="Q36" s="17"/>
      <c r="R36" s="17"/>
      <c r="S36" s="17"/>
      <c r="T36" s="17"/>
      <c r="U36" s="17"/>
      <c r="V36" s="17"/>
      <c r="W36" s="17"/>
      <c r="X36" s="17"/>
      <c r="Y36" s="17"/>
      <c r="Z36" s="17"/>
      <c r="AA36" s="17"/>
    </row>
    <row r="37" spans="1:27" ht="14.25" customHeight="1">
      <c r="A37" s="25"/>
      <c r="B37" s="25"/>
      <c r="C37" s="25"/>
      <c r="D37" s="55"/>
      <c r="E37" s="17"/>
      <c r="F37" s="17"/>
      <c r="G37" s="17"/>
      <c r="H37" s="17"/>
      <c r="I37" s="17"/>
      <c r="J37" s="17"/>
      <c r="K37" s="17"/>
      <c r="L37" s="17"/>
      <c r="M37" s="17"/>
      <c r="N37" s="17"/>
      <c r="O37" s="17"/>
      <c r="P37" s="17"/>
      <c r="Q37" s="17"/>
      <c r="R37" s="17"/>
      <c r="S37" s="17"/>
      <c r="T37" s="17"/>
      <c r="U37" s="17"/>
      <c r="V37" s="17"/>
      <c r="W37" s="17"/>
      <c r="X37" s="17"/>
      <c r="Y37" s="17"/>
      <c r="Z37" s="17"/>
      <c r="AA37" s="17"/>
    </row>
    <row r="38" spans="1:27" ht="14.25" customHeight="1">
      <c r="A38" s="25"/>
      <c r="B38" s="25"/>
      <c r="C38" s="25"/>
      <c r="D38" s="55"/>
      <c r="E38" s="17"/>
      <c r="F38" s="17"/>
      <c r="G38" s="17"/>
      <c r="H38" s="17"/>
      <c r="I38" s="17"/>
      <c r="J38" s="17"/>
      <c r="K38" s="17"/>
      <c r="L38" s="17"/>
      <c r="M38" s="17"/>
      <c r="N38" s="17"/>
      <c r="O38" s="17"/>
      <c r="P38" s="17"/>
      <c r="Q38" s="17"/>
      <c r="R38" s="17"/>
      <c r="S38" s="17"/>
      <c r="T38" s="17"/>
      <c r="U38" s="17"/>
      <c r="V38" s="17"/>
      <c r="W38" s="17"/>
      <c r="X38" s="17"/>
      <c r="Y38" s="17"/>
      <c r="Z38" s="17"/>
      <c r="AA38" s="17"/>
    </row>
    <row r="39" spans="1:27" ht="14.25" customHeight="1">
      <c r="A39" s="25"/>
      <c r="B39" s="25"/>
      <c r="C39" s="25"/>
      <c r="D39" s="55"/>
      <c r="E39" s="17"/>
      <c r="F39" s="17"/>
      <c r="G39" s="17"/>
      <c r="H39" s="17"/>
      <c r="I39" s="17"/>
      <c r="J39" s="17"/>
      <c r="K39" s="17"/>
      <c r="L39" s="17"/>
      <c r="M39" s="17"/>
      <c r="N39" s="17"/>
      <c r="O39" s="17"/>
      <c r="P39" s="17"/>
      <c r="Q39" s="17"/>
      <c r="R39" s="17"/>
      <c r="S39" s="17"/>
      <c r="T39" s="17"/>
      <c r="U39" s="17"/>
      <c r="V39" s="17"/>
      <c r="W39" s="17"/>
      <c r="X39" s="17"/>
      <c r="Y39" s="17"/>
      <c r="Z39" s="17"/>
      <c r="AA39" s="17"/>
    </row>
    <row r="40" spans="1:27" ht="14.25" customHeight="1">
      <c r="A40" s="25"/>
      <c r="B40" s="25"/>
      <c r="C40" s="25"/>
      <c r="D40" s="55"/>
      <c r="E40" s="17"/>
      <c r="F40" s="17"/>
      <c r="G40" s="17"/>
      <c r="H40" s="17"/>
      <c r="I40" s="17"/>
      <c r="J40" s="17"/>
      <c r="K40" s="17"/>
      <c r="L40" s="17"/>
      <c r="M40" s="17"/>
      <c r="N40" s="17"/>
      <c r="O40" s="17"/>
      <c r="P40" s="17"/>
      <c r="Q40" s="17"/>
      <c r="R40" s="17"/>
      <c r="S40" s="17"/>
      <c r="T40" s="17"/>
      <c r="U40" s="17"/>
      <c r="V40" s="17"/>
      <c r="W40" s="17"/>
      <c r="X40" s="17"/>
      <c r="Y40" s="17"/>
      <c r="Z40" s="17"/>
      <c r="AA40" s="17"/>
    </row>
    <row r="41" spans="1:27" ht="14.25" customHeight="1">
      <c r="A41" s="25"/>
      <c r="B41" s="25"/>
      <c r="C41" s="25"/>
      <c r="D41" s="55"/>
      <c r="E41" s="17"/>
      <c r="F41" s="17"/>
      <c r="G41" s="17"/>
      <c r="H41" s="17"/>
      <c r="I41" s="17"/>
      <c r="J41" s="17"/>
      <c r="K41" s="17"/>
      <c r="L41" s="17"/>
      <c r="M41" s="17"/>
      <c r="N41" s="17"/>
      <c r="O41" s="17"/>
      <c r="P41" s="17"/>
      <c r="Q41" s="17"/>
      <c r="R41" s="17"/>
      <c r="S41" s="17"/>
      <c r="T41" s="17"/>
      <c r="U41" s="17"/>
      <c r="V41" s="17"/>
      <c r="W41" s="17"/>
      <c r="X41" s="17"/>
      <c r="Y41" s="17"/>
      <c r="Z41" s="17"/>
      <c r="AA41" s="17"/>
    </row>
    <row r="42" spans="1:27" ht="14.25" customHeight="1">
      <c r="A42" s="25"/>
      <c r="B42" s="25"/>
      <c r="C42" s="25"/>
      <c r="D42" s="55"/>
      <c r="E42" s="17"/>
      <c r="F42" s="17"/>
      <c r="G42" s="17"/>
      <c r="H42" s="17"/>
      <c r="I42" s="17"/>
      <c r="J42" s="17"/>
      <c r="K42" s="17"/>
      <c r="L42" s="17"/>
      <c r="M42" s="17"/>
      <c r="N42" s="17"/>
      <c r="O42" s="17"/>
      <c r="P42" s="17"/>
      <c r="Q42" s="17"/>
      <c r="R42" s="17"/>
      <c r="S42" s="17"/>
      <c r="T42" s="17"/>
      <c r="U42" s="17"/>
      <c r="V42" s="17"/>
      <c r="W42" s="17"/>
      <c r="X42" s="17"/>
      <c r="Y42" s="17"/>
      <c r="Z42" s="17"/>
      <c r="AA42" s="17"/>
    </row>
    <row r="43" spans="1:27" ht="14.25" customHeight="1">
      <c r="A43" s="25"/>
      <c r="B43" s="25"/>
      <c r="C43" s="25"/>
      <c r="D43" s="55"/>
      <c r="E43" s="17"/>
      <c r="F43" s="17"/>
      <c r="G43" s="17"/>
      <c r="H43" s="17"/>
      <c r="I43" s="17"/>
      <c r="J43" s="17"/>
      <c r="K43" s="17"/>
      <c r="L43" s="17"/>
      <c r="M43" s="17"/>
      <c r="N43" s="17"/>
      <c r="O43" s="17"/>
      <c r="P43" s="17"/>
      <c r="Q43" s="17"/>
      <c r="R43" s="17"/>
      <c r="S43" s="17"/>
      <c r="T43" s="17"/>
      <c r="U43" s="17"/>
      <c r="V43" s="17"/>
      <c r="W43" s="17"/>
      <c r="X43" s="17"/>
      <c r="Y43" s="17"/>
      <c r="Z43" s="17"/>
      <c r="AA43" s="17"/>
    </row>
    <row r="44" spans="1:27" ht="14.25" customHeight="1">
      <c r="A44" s="25"/>
      <c r="B44" s="25"/>
      <c r="C44" s="25"/>
      <c r="D44" s="55"/>
      <c r="E44" s="17"/>
      <c r="F44" s="17"/>
      <c r="G44" s="17"/>
      <c r="H44" s="17"/>
      <c r="I44" s="17"/>
      <c r="J44" s="17"/>
      <c r="K44" s="17"/>
      <c r="L44" s="17"/>
      <c r="M44" s="17"/>
      <c r="N44" s="17"/>
      <c r="O44" s="17"/>
      <c r="P44" s="17"/>
      <c r="Q44" s="17"/>
      <c r="R44" s="17"/>
      <c r="S44" s="17"/>
      <c r="T44" s="17"/>
      <c r="U44" s="17"/>
      <c r="V44" s="17"/>
      <c r="W44" s="17"/>
      <c r="X44" s="17"/>
      <c r="Y44" s="17"/>
      <c r="Z44" s="17"/>
      <c r="AA44" s="17"/>
    </row>
    <row r="45" spans="1:27" ht="14.25" customHeight="1">
      <c r="A45" s="25"/>
      <c r="B45" s="25"/>
      <c r="C45" s="25"/>
      <c r="D45" s="55"/>
      <c r="E45" s="17"/>
      <c r="F45" s="17"/>
      <c r="G45" s="17"/>
      <c r="H45" s="17"/>
      <c r="I45" s="17"/>
      <c r="J45" s="17"/>
      <c r="K45" s="17"/>
      <c r="L45" s="17"/>
      <c r="M45" s="17"/>
      <c r="N45" s="17"/>
      <c r="O45" s="17"/>
      <c r="P45" s="17"/>
      <c r="Q45" s="17"/>
      <c r="R45" s="17"/>
      <c r="S45" s="17"/>
      <c r="T45" s="17"/>
      <c r="U45" s="17"/>
      <c r="V45" s="17"/>
      <c r="W45" s="17"/>
      <c r="X45" s="17"/>
      <c r="Y45" s="17"/>
      <c r="Z45" s="17"/>
      <c r="AA45" s="17"/>
    </row>
    <row r="46" spans="1:27" ht="14.25" customHeight="1">
      <c r="A46" s="25"/>
      <c r="B46" s="25"/>
      <c r="C46" s="25"/>
      <c r="D46" s="55"/>
      <c r="E46" s="17"/>
      <c r="F46" s="17"/>
      <c r="G46" s="17"/>
      <c r="H46" s="17"/>
      <c r="I46" s="17"/>
      <c r="J46" s="17"/>
      <c r="K46" s="17"/>
      <c r="L46" s="17"/>
      <c r="M46" s="17"/>
      <c r="N46" s="17"/>
      <c r="O46" s="17"/>
      <c r="P46" s="17"/>
      <c r="Q46" s="17"/>
      <c r="R46" s="17"/>
      <c r="S46" s="17"/>
      <c r="T46" s="17"/>
      <c r="U46" s="17"/>
      <c r="V46" s="17"/>
      <c r="W46" s="17"/>
      <c r="X46" s="17"/>
      <c r="Y46" s="17"/>
      <c r="Z46" s="17"/>
      <c r="AA46" s="17"/>
    </row>
    <row r="47" spans="1:27" ht="14.25" customHeight="1">
      <c r="A47" s="25"/>
      <c r="B47" s="25"/>
      <c r="C47" s="25"/>
      <c r="D47" s="55"/>
      <c r="E47" s="17"/>
      <c r="F47" s="17"/>
      <c r="G47" s="17"/>
      <c r="H47" s="17"/>
      <c r="I47" s="17"/>
      <c r="J47" s="17"/>
      <c r="K47" s="17"/>
      <c r="L47" s="17"/>
      <c r="M47" s="17"/>
      <c r="N47" s="17"/>
      <c r="O47" s="17"/>
      <c r="P47" s="17"/>
      <c r="Q47" s="17"/>
      <c r="R47" s="17"/>
      <c r="S47" s="17"/>
      <c r="T47" s="17"/>
      <c r="U47" s="17"/>
      <c r="V47" s="17"/>
      <c r="W47" s="17"/>
      <c r="X47" s="17"/>
      <c r="Y47" s="17"/>
      <c r="Z47" s="17"/>
      <c r="AA47" s="17"/>
    </row>
    <row r="48" spans="1:27" ht="14.25" customHeight="1">
      <c r="A48" s="25"/>
      <c r="B48" s="25"/>
      <c r="C48" s="25"/>
      <c r="D48" s="55"/>
      <c r="E48" s="17"/>
      <c r="F48" s="17"/>
      <c r="G48" s="17"/>
      <c r="H48" s="17"/>
      <c r="I48" s="17"/>
      <c r="J48" s="17"/>
      <c r="K48" s="17"/>
      <c r="L48" s="17"/>
      <c r="M48" s="17"/>
      <c r="N48" s="17"/>
      <c r="O48" s="17"/>
      <c r="P48" s="17"/>
      <c r="Q48" s="17"/>
      <c r="R48" s="17"/>
      <c r="S48" s="17"/>
      <c r="T48" s="17"/>
      <c r="U48" s="17"/>
      <c r="V48" s="17"/>
      <c r="W48" s="17"/>
      <c r="X48" s="17"/>
      <c r="Y48" s="17"/>
      <c r="Z48" s="17"/>
      <c r="AA48" s="17"/>
    </row>
    <row r="49" spans="1:27" ht="14.25" customHeight="1">
      <c r="A49" s="25"/>
      <c r="B49" s="25"/>
      <c r="C49" s="25"/>
      <c r="D49" s="55"/>
      <c r="E49" s="17"/>
      <c r="F49" s="17"/>
      <c r="G49" s="17"/>
      <c r="H49" s="17"/>
      <c r="I49" s="17"/>
      <c r="J49" s="17"/>
      <c r="K49" s="17"/>
      <c r="L49" s="17"/>
      <c r="M49" s="17"/>
      <c r="N49" s="17"/>
      <c r="O49" s="17"/>
      <c r="P49" s="17"/>
      <c r="Q49" s="17"/>
      <c r="R49" s="17"/>
      <c r="S49" s="17"/>
      <c r="T49" s="17"/>
      <c r="U49" s="17"/>
      <c r="V49" s="17"/>
      <c r="W49" s="17"/>
      <c r="X49" s="17"/>
      <c r="Y49" s="17"/>
      <c r="Z49" s="17"/>
      <c r="AA49" s="17"/>
    </row>
    <row r="50" spans="1:27" ht="14.25" customHeight="1">
      <c r="A50" s="25"/>
      <c r="B50" s="25"/>
      <c r="C50" s="25"/>
      <c r="D50" s="55"/>
      <c r="E50" s="17"/>
      <c r="F50" s="17"/>
      <c r="G50" s="17"/>
      <c r="H50" s="17"/>
      <c r="I50" s="17"/>
      <c r="J50" s="17"/>
      <c r="K50" s="17"/>
      <c r="L50" s="17"/>
      <c r="M50" s="17"/>
      <c r="N50" s="17"/>
      <c r="O50" s="17"/>
      <c r="P50" s="17"/>
      <c r="Q50" s="17"/>
      <c r="R50" s="17"/>
      <c r="S50" s="17"/>
      <c r="T50" s="17"/>
      <c r="U50" s="17"/>
      <c r="V50" s="17"/>
      <c r="W50" s="17"/>
      <c r="X50" s="17"/>
      <c r="Y50" s="17"/>
      <c r="Z50" s="17"/>
      <c r="AA50" s="17"/>
    </row>
    <row r="51" spans="1:27" ht="14.25" customHeight="1">
      <c r="A51" s="25"/>
      <c r="B51" s="25"/>
      <c r="C51" s="25"/>
      <c r="D51" s="55"/>
      <c r="E51" s="17"/>
      <c r="F51" s="17"/>
      <c r="G51" s="17"/>
      <c r="H51" s="17"/>
      <c r="I51" s="17"/>
      <c r="J51" s="17"/>
      <c r="K51" s="17"/>
      <c r="L51" s="17"/>
      <c r="M51" s="17"/>
      <c r="N51" s="17"/>
      <c r="O51" s="17"/>
      <c r="P51" s="17"/>
      <c r="Q51" s="17"/>
      <c r="R51" s="17"/>
      <c r="S51" s="17"/>
      <c r="T51" s="17"/>
      <c r="U51" s="17"/>
      <c r="V51" s="17"/>
      <c r="W51" s="17"/>
      <c r="X51" s="17"/>
      <c r="Y51" s="17"/>
      <c r="Z51" s="17"/>
      <c r="AA51" s="17"/>
    </row>
    <row r="52" spans="1:27" ht="14.25" customHeight="1">
      <c r="A52" s="25"/>
      <c r="B52" s="25"/>
      <c r="C52" s="25"/>
      <c r="D52" s="55"/>
      <c r="E52" s="17"/>
      <c r="F52" s="17"/>
      <c r="G52" s="17"/>
      <c r="H52" s="17"/>
      <c r="I52" s="17"/>
      <c r="J52" s="17"/>
      <c r="K52" s="17"/>
      <c r="L52" s="17"/>
      <c r="M52" s="17"/>
      <c r="N52" s="17"/>
      <c r="O52" s="17"/>
      <c r="P52" s="17"/>
      <c r="Q52" s="17"/>
      <c r="R52" s="17"/>
      <c r="S52" s="17"/>
      <c r="T52" s="17"/>
      <c r="U52" s="17"/>
      <c r="V52" s="17"/>
      <c r="W52" s="17"/>
      <c r="X52" s="17"/>
      <c r="Y52" s="17"/>
      <c r="Z52" s="17"/>
      <c r="AA52" s="17"/>
    </row>
    <row r="53" spans="1:27" ht="14.25" customHeight="1">
      <c r="A53" s="25"/>
      <c r="B53" s="25"/>
      <c r="C53" s="25"/>
      <c r="D53" s="55"/>
      <c r="E53" s="17"/>
      <c r="F53" s="17"/>
      <c r="G53" s="17"/>
      <c r="H53" s="17"/>
      <c r="I53" s="17"/>
      <c r="J53" s="17"/>
      <c r="K53" s="17"/>
      <c r="L53" s="17"/>
      <c r="M53" s="17"/>
      <c r="N53" s="17"/>
      <c r="O53" s="17"/>
      <c r="P53" s="17"/>
      <c r="Q53" s="17"/>
      <c r="R53" s="17"/>
      <c r="S53" s="17"/>
      <c r="T53" s="17"/>
      <c r="U53" s="17"/>
      <c r="V53" s="17"/>
      <c r="W53" s="17"/>
      <c r="X53" s="17"/>
      <c r="Y53" s="17"/>
      <c r="Z53" s="17"/>
      <c r="AA53" s="17"/>
    </row>
    <row r="54" spans="1:27" ht="14.25" customHeight="1">
      <c r="A54" s="25"/>
      <c r="B54" s="25"/>
      <c r="C54" s="25"/>
      <c r="D54" s="55"/>
      <c r="E54" s="17"/>
      <c r="F54" s="17"/>
      <c r="G54" s="17"/>
      <c r="H54" s="17"/>
      <c r="I54" s="17"/>
      <c r="J54" s="17"/>
      <c r="K54" s="17"/>
      <c r="L54" s="17"/>
      <c r="M54" s="17"/>
      <c r="N54" s="17"/>
      <c r="O54" s="17"/>
      <c r="P54" s="17"/>
      <c r="Q54" s="17"/>
      <c r="R54" s="17"/>
      <c r="S54" s="17"/>
      <c r="T54" s="17"/>
      <c r="U54" s="17"/>
      <c r="V54" s="17"/>
      <c r="W54" s="17"/>
      <c r="X54" s="17"/>
      <c r="Y54" s="17"/>
      <c r="Z54" s="17"/>
      <c r="AA54" s="17"/>
    </row>
    <row r="55" spans="1:27" ht="14.25" customHeight="1">
      <c r="A55" s="25"/>
      <c r="B55" s="25"/>
      <c r="C55" s="25"/>
      <c r="D55" s="55"/>
      <c r="E55" s="17"/>
      <c r="F55" s="17"/>
      <c r="G55" s="17"/>
      <c r="H55" s="17"/>
      <c r="I55" s="17"/>
      <c r="J55" s="17"/>
      <c r="K55" s="17"/>
      <c r="L55" s="17"/>
      <c r="M55" s="17"/>
      <c r="N55" s="17"/>
      <c r="O55" s="17"/>
      <c r="P55" s="17"/>
      <c r="Q55" s="17"/>
      <c r="R55" s="17"/>
      <c r="S55" s="17"/>
      <c r="T55" s="17"/>
      <c r="U55" s="17"/>
      <c r="V55" s="17"/>
      <c r="W55" s="17"/>
      <c r="X55" s="17"/>
      <c r="Y55" s="17"/>
      <c r="Z55" s="17"/>
      <c r="AA55" s="17"/>
    </row>
    <row r="56" spans="1:27" ht="14.25" customHeight="1">
      <c r="A56" s="25"/>
      <c r="B56" s="25"/>
      <c r="C56" s="25"/>
      <c r="D56" s="55"/>
      <c r="E56" s="17"/>
      <c r="F56" s="17"/>
      <c r="G56" s="17"/>
      <c r="H56" s="17"/>
      <c r="I56" s="17"/>
      <c r="J56" s="17"/>
      <c r="K56" s="17"/>
      <c r="L56" s="17"/>
      <c r="M56" s="17"/>
      <c r="N56" s="17"/>
      <c r="O56" s="17"/>
      <c r="P56" s="17"/>
      <c r="Q56" s="17"/>
      <c r="R56" s="17"/>
      <c r="S56" s="17"/>
      <c r="T56" s="17"/>
      <c r="U56" s="17"/>
      <c r="V56" s="17"/>
      <c r="W56" s="17"/>
      <c r="X56" s="17"/>
      <c r="Y56" s="17"/>
      <c r="Z56" s="17"/>
      <c r="AA56" s="17"/>
    </row>
    <row r="57" spans="1:27" ht="14.25" customHeight="1">
      <c r="A57" s="25"/>
      <c r="B57" s="25"/>
      <c r="C57" s="25"/>
      <c r="D57" s="55"/>
      <c r="E57" s="17"/>
      <c r="F57" s="17"/>
      <c r="G57" s="17"/>
      <c r="H57" s="17"/>
      <c r="I57" s="17"/>
      <c r="J57" s="17"/>
      <c r="K57" s="17"/>
      <c r="L57" s="17"/>
      <c r="M57" s="17"/>
      <c r="N57" s="17"/>
      <c r="O57" s="17"/>
      <c r="P57" s="17"/>
      <c r="Q57" s="17"/>
      <c r="R57" s="17"/>
      <c r="S57" s="17"/>
      <c r="T57" s="17"/>
      <c r="U57" s="17"/>
      <c r="V57" s="17"/>
      <c r="W57" s="17"/>
      <c r="X57" s="17"/>
      <c r="Y57" s="17"/>
      <c r="Z57" s="17"/>
      <c r="AA57" s="17"/>
    </row>
    <row r="58" spans="1:27" ht="14.25" customHeight="1">
      <c r="A58" s="25"/>
      <c r="B58" s="25"/>
      <c r="C58" s="25"/>
      <c r="D58" s="55"/>
      <c r="E58" s="17"/>
      <c r="F58" s="17"/>
      <c r="G58" s="17"/>
      <c r="H58" s="17"/>
      <c r="I58" s="17"/>
      <c r="J58" s="17"/>
      <c r="K58" s="17"/>
      <c r="L58" s="17"/>
      <c r="M58" s="17"/>
      <c r="N58" s="17"/>
      <c r="O58" s="17"/>
      <c r="P58" s="17"/>
      <c r="Q58" s="17"/>
      <c r="R58" s="17"/>
      <c r="S58" s="17"/>
      <c r="T58" s="17"/>
      <c r="U58" s="17"/>
      <c r="V58" s="17"/>
      <c r="W58" s="17"/>
      <c r="X58" s="17"/>
      <c r="Y58" s="17"/>
      <c r="Z58" s="17"/>
      <c r="AA58" s="17"/>
    </row>
    <row r="59" spans="1:27" ht="14.25" customHeight="1">
      <c r="A59" s="25"/>
      <c r="B59" s="25"/>
      <c r="C59" s="25"/>
      <c r="D59" s="55"/>
      <c r="E59" s="17"/>
      <c r="F59" s="17"/>
      <c r="G59" s="17"/>
      <c r="H59" s="17"/>
      <c r="I59" s="17"/>
      <c r="J59" s="17"/>
      <c r="K59" s="17"/>
      <c r="L59" s="17"/>
      <c r="M59" s="17"/>
      <c r="N59" s="17"/>
      <c r="O59" s="17"/>
      <c r="P59" s="17"/>
      <c r="Q59" s="17"/>
      <c r="R59" s="17"/>
      <c r="S59" s="17"/>
      <c r="T59" s="17"/>
      <c r="U59" s="17"/>
      <c r="V59" s="17"/>
      <c r="W59" s="17"/>
      <c r="X59" s="17"/>
      <c r="Y59" s="17"/>
      <c r="Z59" s="17"/>
      <c r="AA59" s="17"/>
    </row>
    <row r="60" spans="1:27" ht="14.25" customHeight="1">
      <c r="A60" s="25"/>
      <c r="B60" s="25"/>
      <c r="C60" s="25"/>
      <c r="D60" s="55"/>
      <c r="E60" s="17"/>
      <c r="F60" s="17"/>
      <c r="G60" s="17"/>
      <c r="H60" s="17"/>
      <c r="I60" s="17"/>
      <c r="J60" s="17"/>
      <c r="K60" s="17"/>
      <c r="L60" s="17"/>
      <c r="M60" s="17"/>
      <c r="N60" s="17"/>
      <c r="O60" s="17"/>
      <c r="P60" s="17"/>
      <c r="Q60" s="17"/>
      <c r="R60" s="17"/>
      <c r="S60" s="17"/>
      <c r="T60" s="17"/>
      <c r="U60" s="17"/>
      <c r="V60" s="17"/>
      <c r="W60" s="17"/>
      <c r="X60" s="17"/>
      <c r="Y60" s="17"/>
      <c r="Z60" s="17"/>
      <c r="AA60" s="17"/>
    </row>
    <row r="61" spans="1:27" ht="14.25" customHeight="1">
      <c r="A61" s="25"/>
      <c r="B61" s="25"/>
      <c r="C61" s="25"/>
      <c r="D61" s="55"/>
      <c r="E61" s="17"/>
      <c r="F61" s="17"/>
      <c r="G61" s="17"/>
      <c r="H61" s="17"/>
      <c r="I61" s="17"/>
      <c r="J61" s="17"/>
      <c r="K61" s="17"/>
      <c r="L61" s="17"/>
      <c r="M61" s="17"/>
      <c r="N61" s="17"/>
      <c r="O61" s="17"/>
      <c r="P61" s="17"/>
      <c r="Q61" s="17"/>
      <c r="R61" s="17"/>
      <c r="S61" s="17"/>
      <c r="T61" s="17"/>
      <c r="U61" s="17"/>
      <c r="V61" s="17"/>
      <c r="W61" s="17"/>
      <c r="X61" s="17"/>
      <c r="Y61" s="17"/>
      <c r="Z61" s="17"/>
      <c r="AA61" s="17"/>
    </row>
    <row r="62" spans="1:27" ht="14.25" customHeight="1">
      <c r="A62" s="25"/>
      <c r="B62" s="25"/>
      <c r="C62" s="25"/>
      <c r="D62" s="55"/>
      <c r="E62" s="17"/>
      <c r="F62" s="17"/>
      <c r="G62" s="17"/>
      <c r="H62" s="17"/>
      <c r="I62" s="17"/>
      <c r="J62" s="17"/>
      <c r="K62" s="17"/>
      <c r="L62" s="17"/>
      <c r="M62" s="17"/>
      <c r="N62" s="17"/>
      <c r="O62" s="17"/>
      <c r="P62" s="17"/>
      <c r="Q62" s="17"/>
      <c r="R62" s="17"/>
      <c r="S62" s="17"/>
      <c r="T62" s="17"/>
      <c r="U62" s="17"/>
      <c r="V62" s="17"/>
      <c r="W62" s="17"/>
      <c r="X62" s="17"/>
      <c r="Y62" s="17"/>
      <c r="Z62" s="17"/>
      <c r="AA62" s="17"/>
    </row>
    <row r="63" spans="1:27" ht="14.25" customHeight="1">
      <c r="A63" s="25"/>
      <c r="B63" s="25"/>
      <c r="C63" s="25"/>
      <c r="D63" s="55"/>
      <c r="E63" s="17"/>
      <c r="F63" s="17"/>
      <c r="G63" s="17"/>
      <c r="H63" s="17"/>
      <c r="I63" s="17"/>
      <c r="J63" s="17"/>
      <c r="K63" s="17"/>
      <c r="L63" s="17"/>
      <c r="M63" s="17"/>
      <c r="N63" s="17"/>
      <c r="O63" s="17"/>
      <c r="P63" s="17"/>
      <c r="Q63" s="17"/>
      <c r="R63" s="17"/>
      <c r="S63" s="17"/>
      <c r="T63" s="17"/>
      <c r="U63" s="17"/>
      <c r="V63" s="17"/>
      <c r="W63" s="17"/>
      <c r="X63" s="17"/>
      <c r="Y63" s="17"/>
      <c r="Z63" s="17"/>
      <c r="AA63" s="17"/>
    </row>
    <row r="64" spans="1:27" ht="14.25" customHeight="1">
      <c r="A64" s="25"/>
      <c r="B64" s="25"/>
      <c r="C64" s="25"/>
      <c r="D64" s="55"/>
      <c r="E64" s="17"/>
      <c r="F64" s="17"/>
      <c r="G64" s="17"/>
      <c r="H64" s="17"/>
      <c r="I64" s="17"/>
      <c r="J64" s="17"/>
      <c r="K64" s="17"/>
      <c r="L64" s="17"/>
      <c r="M64" s="17"/>
      <c r="N64" s="17"/>
      <c r="O64" s="17"/>
      <c r="P64" s="17"/>
      <c r="Q64" s="17"/>
      <c r="R64" s="17"/>
      <c r="S64" s="17"/>
      <c r="T64" s="17"/>
      <c r="U64" s="17"/>
      <c r="V64" s="17"/>
      <c r="W64" s="17"/>
      <c r="X64" s="17"/>
      <c r="Y64" s="17"/>
      <c r="Z64" s="17"/>
      <c r="AA64" s="17"/>
    </row>
    <row r="65" spans="1:27" ht="14.25" customHeight="1">
      <c r="A65" s="25"/>
      <c r="B65" s="25"/>
      <c r="C65" s="25"/>
      <c r="D65" s="55"/>
      <c r="E65" s="17"/>
      <c r="F65" s="17"/>
      <c r="G65" s="17"/>
      <c r="H65" s="17"/>
      <c r="I65" s="17"/>
      <c r="J65" s="17"/>
      <c r="K65" s="17"/>
      <c r="L65" s="17"/>
      <c r="M65" s="17"/>
      <c r="N65" s="17"/>
      <c r="O65" s="17"/>
      <c r="P65" s="17"/>
      <c r="Q65" s="17"/>
      <c r="R65" s="17"/>
      <c r="S65" s="17"/>
      <c r="T65" s="17"/>
      <c r="U65" s="17"/>
      <c r="V65" s="17"/>
      <c r="W65" s="17"/>
      <c r="X65" s="17"/>
      <c r="Y65" s="17"/>
      <c r="Z65" s="17"/>
      <c r="AA65" s="17"/>
    </row>
    <row r="66" spans="1:27" ht="14.25" customHeight="1">
      <c r="A66" s="25"/>
      <c r="B66" s="25"/>
      <c r="C66" s="25"/>
      <c r="D66" s="55"/>
      <c r="E66" s="17"/>
      <c r="F66" s="17"/>
      <c r="G66" s="17"/>
      <c r="H66" s="17"/>
      <c r="I66" s="17"/>
      <c r="J66" s="17"/>
      <c r="K66" s="17"/>
      <c r="L66" s="17"/>
      <c r="M66" s="17"/>
      <c r="N66" s="17"/>
      <c r="O66" s="17"/>
      <c r="P66" s="17"/>
      <c r="Q66" s="17"/>
      <c r="R66" s="17"/>
      <c r="S66" s="17"/>
      <c r="T66" s="17"/>
      <c r="U66" s="17"/>
      <c r="V66" s="17"/>
      <c r="W66" s="17"/>
      <c r="X66" s="17"/>
      <c r="Y66" s="17"/>
      <c r="Z66" s="17"/>
      <c r="AA66" s="17"/>
    </row>
    <row r="67" spans="1:27" ht="14.25" customHeight="1">
      <c r="A67" s="25"/>
      <c r="B67" s="25"/>
      <c r="C67" s="25"/>
      <c r="D67" s="55"/>
      <c r="E67" s="17"/>
      <c r="F67" s="17"/>
      <c r="G67" s="17"/>
      <c r="H67" s="17"/>
      <c r="I67" s="17"/>
      <c r="J67" s="17"/>
      <c r="K67" s="17"/>
      <c r="L67" s="17"/>
      <c r="M67" s="17"/>
      <c r="N67" s="17"/>
      <c r="O67" s="17"/>
      <c r="P67" s="17"/>
      <c r="Q67" s="17"/>
      <c r="R67" s="17"/>
      <c r="S67" s="17"/>
      <c r="T67" s="17"/>
      <c r="U67" s="17"/>
      <c r="V67" s="17"/>
      <c r="W67" s="17"/>
      <c r="X67" s="17"/>
      <c r="Y67" s="17"/>
      <c r="Z67" s="17"/>
      <c r="AA67" s="17"/>
    </row>
    <row r="68" spans="1:27" ht="14.25" customHeight="1">
      <c r="A68" s="25"/>
      <c r="B68" s="25"/>
      <c r="C68" s="25"/>
      <c r="D68" s="55"/>
      <c r="E68" s="17"/>
      <c r="F68" s="17"/>
      <c r="G68" s="17"/>
      <c r="H68" s="17"/>
      <c r="I68" s="17"/>
      <c r="J68" s="17"/>
      <c r="K68" s="17"/>
      <c r="L68" s="17"/>
      <c r="M68" s="17"/>
      <c r="N68" s="17"/>
      <c r="O68" s="17"/>
      <c r="P68" s="17"/>
      <c r="Q68" s="17"/>
      <c r="R68" s="17"/>
      <c r="S68" s="17"/>
      <c r="T68" s="17"/>
      <c r="U68" s="17"/>
      <c r="V68" s="17"/>
      <c r="W68" s="17"/>
      <c r="X68" s="17"/>
      <c r="Y68" s="17"/>
      <c r="Z68" s="17"/>
      <c r="AA68" s="17"/>
    </row>
    <row r="69" spans="1:27" ht="14.25" customHeight="1">
      <c r="A69" s="25"/>
      <c r="B69" s="25"/>
      <c r="C69" s="25"/>
      <c r="D69" s="55"/>
      <c r="E69" s="17"/>
      <c r="F69" s="17"/>
      <c r="G69" s="17"/>
      <c r="H69" s="17"/>
      <c r="I69" s="17"/>
      <c r="J69" s="17"/>
      <c r="K69" s="17"/>
      <c r="L69" s="17"/>
      <c r="M69" s="17"/>
      <c r="N69" s="17"/>
      <c r="O69" s="17"/>
      <c r="P69" s="17"/>
      <c r="Q69" s="17"/>
      <c r="R69" s="17"/>
      <c r="S69" s="17"/>
      <c r="T69" s="17"/>
      <c r="U69" s="17"/>
      <c r="V69" s="17"/>
      <c r="W69" s="17"/>
      <c r="X69" s="17"/>
      <c r="Y69" s="17"/>
      <c r="Z69" s="17"/>
      <c r="AA69" s="17"/>
    </row>
    <row r="70" spans="1:27" ht="14.25" customHeight="1">
      <c r="A70" s="25"/>
      <c r="B70" s="25"/>
      <c r="C70" s="25"/>
      <c r="D70" s="55"/>
      <c r="E70" s="17"/>
      <c r="F70" s="17"/>
      <c r="G70" s="17"/>
      <c r="H70" s="17"/>
      <c r="I70" s="17"/>
      <c r="J70" s="17"/>
      <c r="K70" s="17"/>
      <c r="L70" s="17"/>
      <c r="M70" s="17"/>
      <c r="N70" s="17"/>
      <c r="O70" s="17"/>
      <c r="P70" s="17"/>
      <c r="Q70" s="17"/>
      <c r="R70" s="17"/>
      <c r="S70" s="17"/>
      <c r="T70" s="17"/>
      <c r="U70" s="17"/>
      <c r="V70" s="17"/>
      <c r="W70" s="17"/>
      <c r="X70" s="17"/>
      <c r="Y70" s="17"/>
      <c r="Z70" s="17"/>
      <c r="AA70" s="17"/>
    </row>
    <row r="71" spans="1:27" ht="14.25" customHeight="1">
      <c r="A71" s="25"/>
      <c r="B71" s="25"/>
      <c r="C71" s="25"/>
      <c r="D71" s="55"/>
      <c r="E71" s="17"/>
      <c r="F71" s="17"/>
      <c r="G71" s="17"/>
      <c r="H71" s="17"/>
      <c r="I71" s="17"/>
      <c r="J71" s="17"/>
      <c r="K71" s="17"/>
      <c r="L71" s="17"/>
      <c r="M71" s="17"/>
      <c r="N71" s="17"/>
      <c r="O71" s="17"/>
      <c r="P71" s="17"/>
      <c r="Q71" s="17"/>
      <c r="R71" s="17"/>
      <c r="S71" s="17"/>
      <c r="T71" s="17"/>
      <c r="U71" s="17"/>
      <c r="V71" s="17"/>
      <c r="W71" s="17"/>
      <c r="X71" s="17"/>
      <c r="Y71" s="17"/>
      <c r="Z71" s="17"/>
      <c r="AA71" s="17"/>
    </row>
    <row r="72" spans="1:27" ht="14.25" customHeight="1">
      <c r="A72" s="25"/>
      <c r="B72" s="25"/>
      <c r="C72" s="25"/>
      <c r="D72" s="55"/>
      <c r="E72" s="17"/>
      <c r="F72" s="17"/>
      <c r="G72" s="17"/>
      <c r="H72" s="17"/>
      <c r="I72" s="17"/>
      <c r="J72" s="17"/>
      <c r="K72" s="17"/>
      <c r="L72" s="17"/>
      <c r="M72" s="17"/>
      <c r="N72" s="17"/>
      <c r="O72" s="17"/>
      <c r="P72" s="17"/>
      <c r="Q72" s="17"/>
      <c r="R72" s="17"/>
      <c r="S72" s="17"/>
      <c r="T72" s="17"/>
      <c r="U72" s="17"/>
      <c r="V72" s="17"/>
      <c r="W72" s="17"/>
      <c r="X72" s="17"/>
      <c r="Y72" s="17"/>
      <c r="Z72" s="17"/>
      <c r="AA72" s="17"/>
    </row>
    <row r="73" spans="1:27" ht="14.25" customHeight="1">
      <c r="A73" s="25"/>
      <c r="B73" s="25"/>
      <c r="C73" s="25"/>
      <c r="D73" s="55"/>
      <c r="E73" s="17"/>
      <c r="F73" s="17"/>
      <c r="G73" s="17"/>
      <c r="H73" s="17"/>
      <c r="I73" s="17"/>
      <c r="J73" s="17"/>
      <c r="K73" s="17"/>
      <c r="L73" s="17"/>
      <c r="M73" s="17"/>
      <c r="N73" s="17"/>
      <c r="O73" s="17"/>
      <c r="P73" s="17"/>
      <c r="Q73" s="17"/>
      <c r="R73" s="17"/>
      <c r="S73" s="17"/>
      <c r="T73" s="17"/>
      <c r="U73" s="17"/>
      <c r="V73" s="17"/>
      <c r="W73" s="17"/>
      <c r="X73" s="17"/>
      <c r="Y73" s="17"/>
      <c r="Z73" s="17"/>
      <c r="AA73" s="17"/>
    </row>
    <row r="74" spans="1:27" ht="14.25" customHeight="1">
      <c r="A74" s="25"/>
      <c r="B74" s="25"/>
      <c r="C74" s="25"/>
      <c r="D74" s="55"/>
      <c r="E74" s="17"/>
      <c r="F74" s="17"/>
      <c r="G74" s="17"/>
      <c r="H74" s="17"/>
      <c r="I74" s="17"/>
      <c r="J74" s="17"/>
      <c r="K74" s="17"/>
      <c r="L74" s="17"/>
      <c r="M74" s="17"/>
      <c r="N74" s="17"/>
      <c r="O74" s="17"/>
      <c r="P74" s="17"/>
      <c r="Q74" s="17"/>
      <c r="R74" s="17"/>
      <c r="S74" s="17"/>
      <c r="T74" s="17"/>
      <c r="U74" s="17"/>
      <c r="V74" s="17"/>
      <c r="W74" s="17"/>
      <c r="X74" s="17"/>
      <c r="Y74" s="17"/>
      <c r="Z74" s="17"/>
      <c r="AA74" s="17"/>
    </row>
    <row r="75" spans="1:27" ht="14.25" customHeight="1">
      <c r="A75" s="25"/>
      <c r="B75" s="25"/>
      <c r="C75" s="25"/>
      <c r="D75" s="55"/>
      <c r="E75" s="17"/>
      <c r="F75" s="17"/>
      <c r="G75" s="17"/>
      <c r="H75" s="17"/>
      <c r="I75" s="17"/>
      <c r="J75" s="17"/>
      <c r="K75" s="17"/>
      <c r="L75" s="17"/>
      <c r="M75" s="17"/>
      <c r="N75" s="17"/>
      <c r="O75" s="17"/>
      <c r="P75" s="17"/>
      <c r="Q75" s="17"/>
      <c r="R75" s="17"/>
      <c r="S75" s="17"/>
      <c r="T75" s="17"/>
      <c r="U75" s="17"/>
      <c r="V75" s="17"/>
      <c r="W75" s="17"/>
      <c r="X75" s="17"/>
      <c r="Y75" s="17"/>
      <c r="Z75" s="17"/>
      <c r="AA75" s="17"/>
    </row>
    <row r="76" spans="1:27" ht="14.25" customHeight="1">
      <c r="A76" s="25"/>
      <c r="B76" s="25"/>
      <c r="C76" s="25"/>
      <c r="D76" s="55"/>
      <c r="E76" s="17"/>
      <c r="F76" s="17"/>
      <c r="G76" s="17"/>
      <c r="H76" s="17"/>
      <c r="I76" s="17"/>
      <c r="J76" s="17"/>
      <c r="K76" s="17"/>
      <c r="L76" s="17"/>
      <c r="M76" s="17"/>
      <c r="N76" s="17"/>
      <c r="O76" s="17"/>
      <c r="P76" s="17"/>
      <c r="Q76" s="17"/>
      <c r="R76" s="17"/>
      <c r="S76" s="17"/>
      <c r="T76" s="17"/>
      <c r="U76" s="17"/>
      <c r="V76" s="17"/>
      <c r="W76" s="17"/>
      <c r="X76" s="17"/>
      <c r="Y76" s="17"/>
      <c r="Z76" s="17"/>
      <c r="AA76" s="17"/>
    </row>
    <row r="77" spans="1:27" ht="14.25" customHeight="1">
      <c r="A77" s="25"/>
      <c r="B77" s="25"/>
      <c r="C77" s="25"/>
      <c r="D77" s="55"/>
      <c r="E77" s="17"/>
      <c r="F77" s="17"/>
      <c r="G77" s="17"/>
      <c r="H77" s="17"/>
      <c r="I77" s="17"/>
      <c r="J77" s="17"/>
      <c r="K77" s="17"/>
      <c r="L77" s="17"/>
      <c r="M77" s="17"/>
      <c r="N77" s="17"/>
      <c r="O77" s="17"/>
      <c r="P77" s="17"/>
      <c r="Q77" s="17"/>
      <c r="R77" s="17"/>
      <c r="S77" s="17"/>
      <c r="T77" s="17"/>
      <c r="U77" s="17"/>
      <c r="V77" s="17"/>
      <c r="W77" s="17"/>
      <c r="X77" s="17"/>
      <c r="Y77" s="17"/>
      <c r="Z77" s="17"/>
      <c r="AA77" s="17"/>
    </row>
    <row r="78" spans="1:27" ht="14.25" customHeight="1">
      <c r="A78" s="25"/>
      <c r="B78" s="25"/>
      <c r="C78" s="25"/>
      <c r="D78" s="55"/>
      <c r="E78" s="17"/>
      <c r="F78" s="17"/>
      <c r="G78" s="17"/>
      <c r="H78" s="17"/>
      <c r="I78" s="17"/>
      <c r="J78" s="17"/>
      <c r="K78" s="17"/>
      <c r="L78" s="17"/>
      <c r="M78" s="17"/>
      <c r="N78" s="17"/>
      <c r="O78" s="17"/>
      <c r="P78" s="17"/>
      <c r="Q78" s="17"/>
      <c r="R78" s="17"/>
      <c r="S78" s="17"/>
      <c r="T78" s="17"/>
      <c r="U78" s="17"/>
      <c r="V78" s="17"/>
      <c r="W78" s="17"/>
      <c r="X78" s="17"/>
      <c r="Y78" s="17"/>
      <c r="Z78" s="17"/>
      <c r="AA78" s="17"/>
    </row>
    <row r="79" spans="1:27" ht="14.25" customHeight="1">
      <c r="A79" s="25"/>
      <c r="B79" s="25"/>
      <c r="C79" s="25"/>
      <c r="D79" s="55"/>
      <c r="E79" s="17"/>
      <c r="F79" s="17"/>
      <c r="G79" s="17"/>
      <c r="H79" s="17"/>
      <c r="I79" s="17"/>
      <c r="J79" s="17"/>
      <c r="K79" s="17"/>
      <c r="L79" s="17"/>
      <c r="M79" s="17"/>
      <c r="N79" s="17"/>
      <c r="O79" s="17"/>
      <c r="P79" s="17"/>
      <c r="Q79" s="17"/>
      <c r="R79" s="17"/>
      <c r="S79" s="17"/>
      <c r="T79" s="17"/>
      <c r="U79" s="17"/>
      <c r="V79" s="17"/>
      <c r="W79" s="17"/>
      <c r="X79" s="17"/>
      <c r="Y79" s="17"/>
      <c r="Z79" s="17"/>
      <c r="AA79" s="17"/>
    </row>
    <row r="80" spans="1:27" ht="14.25" customHeight="1">
      <c r="A80" s="25"/>
      <c r="B80" s="25"/>
      <c r="C80" s="25"/>
      <c r="D80" s="55"/>
      <c r="E80" s="17"/>
      <c r="F80" s="17"/>
      <c r="G80" s="17"/>
      <c r="H80" s="17"/>
      <c r="I80" s="17"/>
      <c r="J80" s="17"/>
      <c r="K80" s="17"/>
      <c r="L80" s="17"/>
      <c r="M80" s="17"/>
      <c r="N80" s="17"/>
      <c r="O80" s="17"/>
      <c r="P80" s="17"/>
      <c r="Q80" s="17"/>
      <c r="R80" s="17"/>
      <c r="S80" s="17"/>
      <c r="T80" s="17"/>
      <c r="U80" s="17"/>
      <c r="V80" s="17"/>
      <c r="W80" s="17"/>
      <c r="X80" s="17"/>
      <c r="Y80" s="17"/>
      <c r="Z80" s="17"/>
      <c r="AA80" s="17"/>
    </row>
    <row r="81" spans="1:27" ht="14.25" customHeight="1">
      <c r="A81" s="25"/>
      <c r="B81" s="25"/>
      <c r="C81" s="25"/>
      <c r="D81" s="55"/>
      <c r="E81" s="17"/>
      <c r="F81" s="17"/>
      <c r="G81" s="17"/>
      <c r="H81" s="17"/>
      <c r="I81" s="17"/>
      <c r="J81" s="17"/>
      <c r="K81" s="17"/>
      <c r="L81" s="17"/>
      <c r="M81" s="17"/>
      <c r="N81" s="17"/>
      <c r="O81" s="17"/>
      <c r="P81" s="17"/>
      <c r="Q81" s="17"/>
      <c r="R81" s="17"/>
      <c r="S81" s="17"/>
      <c r="T81" s="17"/>
      <c r="U81" s="17"/>
      <c r="V81" s="17"/>
      <c r="W81" s="17"/>
      <c r="X81" s="17"/>
      <c r="Y81" s="17"/>
      <c r="Z81" s="17"/>
      <c r="AA81" s="17"/>
    </row>
    <row r="82" spans="1:27" ht="14.25" customHeight="1">
      <c r="A82" s="25"/>
      <c r="B82" s="25"/>
      <c r="C82" s="25"/>
      <c r="D82" s="55"/>
      <c r="E82" s="17"/>
      <c r="F82" s="17"/>
      <c r="G82" s="17"/>
      <c r="H82" s="17"/>
      <c r="I82" s="17"/>
      <c r="J82" s="17"/>
      <c r="K82" s="17"/>
      <c r="L82" s="17"/>
      <c r="M82" s="17"/>
      <c r="N82" s="17"/>
      <c r="O82" s="17"/>
      <c r="P82" s="17"/>
      <c r="Q82" s="17"/>
      <c r="R82" s="17"/>
      <c r="S82" s="17"/>
      <c r="T82" s="17"/>
      <c r="U82" s="17"/>
      <c r="V82" s="17"/>
      <c r="W82" s="17"/>
      <c r="X82" s="17"/>
      <c r="Y82" s="17"/>
      <c r="Z82" s="17"/>
      <c r="AA82" s="17"/>
    </row>
    <row r="83" spans="1:27" ht="14.25" customHeight="1">
      <c r="A83" s="25"/>
      <c r="B83" s="25"/>
      <c r="C83" s="25"/>
      <c r="D83" s="55"/>
      <c r="E83" s="17"/>
      <c r="F83" s="17"/>
      <c r="G83" s="17"/>
      <c r="H83" s="17"/>
      <c r="I83" s="17"/>
      <c r="J83" s="17"/>
      <c r="K83" s="17"/>
      <c r="L83" s="17"/>
      <c r="M83" s="17"/>
      <c r="N83" s="17"/>
      <c r="O83" s="17"/>
      <c r="P83" s="17"/>
      <c r="Q83" s="17"/>
      <c r="R83" s="17"/>
      <c r="S83" s="17"/>
      <c r="T83" s="17"/>
      <c r="U83" s="17"/>
      <c r="V83" s="17"/>
      <c r="W83" s="17"/>
      <c r="X83" s="17"/>
      <c r="Y83" s="17"/>
      <c r="Z83" s="17"/>
      <c r="AA83" s="17"/>
    </row>
    <row r="84" spans="1:27" ht="14.25" customHeight="1">
      <c r="A84" s="25"/>
      <c r="B84" s="25"/>
      <c r="C84" s="25"/>
      <c r="D84" s="55"/>
      <c r="E84" s="17"/>
      <c r="F84" s="17"/>
      <c r="G84" s="17"/>
      <c r="H84" s="17"/>
      <c r="I84" s="17"/>
      <c r="J84" s="17"/>
      <c r="K84" s="17"/>
      <c r="L84" s="17"/>
      <c r="M84" s="17"/>
      <c r="N84" s="17"/>
      <c r="O84" s="17"/>
      <c r="P84" s="17"/>
      <c r="Q84" s="17"/>
      <c r="R84" s="17"/>
      <c r="S84" s="17"/>
      <c r="T84" s="17"/>
      <c r="U84" s="17"/>
      <c r="V84" s="17"/>
      <c r="W84" s="17"/>
      <c r="X84" s="17"/>
      <c r="Y84" s="17"/>
      <c r="Z84" s="17"/>
      <c r="AA84" s="17"/>
    </row>
    <row r="85" spans="1:27" ht="14.25" customHeight="1">
      <c r="A85" s="25"/>
      <c r="B85" s="25"/>
      <c r="C85" s="25"/>
      <c r="D85" s="55"/>
      <c r="E85" s="17"/>
      <c r="F85" s="17"/>
      <c r="G85" s="17"/>
      <c r="H85" s="17"/>
      <c r="I85" s="17"/>
      <c r="J85" s="17"/>
      <c r="K85" s="17"/>
      <c r="L85" s="17"/>
      <c r="M85" s="17"/>
      <c r="N85" s="17"/>
      <c r="O85" s="17"/>
      <c r="P85" s="17"/>
      <c r="Q85" s="17"/>
      <c r="R85" s="17"/>
      <c r="S85" s="17"/>
      <c r="T85" s="17"/>
      <c r="U85" s="17"/>
      <c r="V85" s="17"/>
      <c r="W85" s="17"/>
      <c r="X85" s="17"/>
      <c r="Y85" s="17"/>
      <c r="Z85" s="17"/>
      <c r="AA85" s="17"/>
    </row>
    <row r="86" spans="1:27" ht="14.25" customHeight="1">
      <c r="A86" s="25"/>
      <c r="B86" s="25"/>
      <c r="C86" s="25"/>
      <c r="D86" s="55"/>
      <c r="E86" s="17"/>
      <c r="F86" s="17"/>
      <c r="G86" s="17"/>
      <c r="H86" s="17"/>
      <c r="I86" s="17"/>
      <c r="J86" s="17"/>
      <c r="K86" s="17"/>
      <c r="L86" s="17"/>
      <c r="M86" s="17"/>
      <c r="N86" s="17"/>
      <c r="O86" s="17"/>
      <c r="P86" s="17"/>
      <c r="Q86" s="17"/>
      <c r="R86" s="17"/>
      <c r="S86" s="17"/>
      <c r="T86" s="17"/>
      <c r="U86" s="17"/>
      <c r="V86" s="17"/>
      <c r="W86" s="17"/>
      <c r="X86" s="17"/>
      <c r="Y86" s="17"/>
      <c r="Z86" s="17"/>
      <c r="AA86" s="17"/>
    </row>
    <row r="87" spans="1:27" ht="14.25" customHeight="1">
      <c r="A87" s="25"/>
      <c r="B87" s="25"/>
      <c r="C87" s="25"/>
      <c r="D87" s="55"/>
      <c r="E87" s="17"/>
      <c r="F87" s="17"/>
      <c r="G87" s="17"/>
      <c r="H87" s="17"/>
      <c r="I87" s="17"/>
      <c r="J87" s="17"/>
      <c r="K87" s="17"/>
      <c r="L87" s="17"/>
      <c r="M87" s="17"/>
      <c r="N87" s="17"/>
      <c r="O87" s="17"/>
      <c r="P87" s="17"/>
      <c r="Q87" s="17"/>
      <c r="R87" s="17"/>
      <c r="S87" s="17"/>
      <c r="T87" s="17"/>
      <c r="U87" s="17"/>
      <c r="V87" s="17"/>
      <c r="W87" s="17"/>
      <c r="X87" s="17"/>
      <c r="Y87" s="17"/>
      <c r="Z87" s="17"/>
      <c r="AA87" s="17"/>
    </row>
    <row r="88" spans="1:27" ht="14.25" customHeight="1">
      <c r="A88" s="25"/>
      <c r="B88" s="25"/>
      <c r="C88" s="25"/>
      <c r="D88" s="55"/>
      <c r="E88" s="17"/>
      <c r="F88" s="17"/>
      <c r="G88" s="17"/>
      <c r="H88" s="17"/>
      <c r="I88" s="17"/>
      <c r="J88" s="17"/>
      <c r="K88" s="17"/>
      <c r="L88" s="17"/>
      <c r="M88" s="17"/>
      <c r="N88" s="17"/>
      <c r="O88" s="17"/>
      <c r="P88" s="17"/>
      <c r="Q88" s="17"/>
      <c r="R88" s="17"/>
      <c r="S88" s="17"/>
      <c r="T88" s="17"/>
      <c r="U88" s="17"/>
      <c r="V88" s="17"/>
      <c r="W88" s="17"/>
      <c r="X88" s="17"/>
      <c r="Y88" s="17"/>
      <c r="Z88" s="17"/>
      <c r="AA88" s="17"/>
    </row>
    <row r="89" spans="1:27" ht="14.25" customHeight="1">
      <c r="A89" s="25"/>
      <c r="B89" s="25"/>
      <c r="C89" s="25"/>
      <c r="D89" s="55"/>
      <c r="E89" s="17"/>
      <c r="F89" s="17"/>
      <c r="G89" s="17"/>
      <c r="H89" s="17"/>
      <c r="I89" s="17"/>
      <c r="J89" s="17"/>
      <c r="K89" s="17"/>
      <c r="L89" s="17"/>
      <c r="M89" s="17"/>
      <c r="N89" s="17"/>
      <c r="O89" s="17"/>
      <c r="P89" s="17"/>
      <c r="Q89" s="17"/>
      <c r="R89" s="17"/>
      <c r="S89" s="17"/>
      <c r="T89" s="17"/>
      <c r="U89" s="17"/>
      <c r="V89" s="17"/>
      <c r="W89" s="17"/>
      <c r="X89" s="17"/>
      <c r="Y89" s="17"/>
      <c r="Z89" s="17"/>
      <c r="AA89" s="17"/>
    </row>
    <row r="90" spans="1:27" ht="14.25" customHeight="1">
      <c r="A90" s="25"/>
      <c r="B90" s="25"/>
      <c r="C90" s="25"/>
      <c r="D90" s="55"/>
      <c r="E90" s="17"/>
      <c r="F90" s="17"/>
      <c r="G90" s="17"/>
      <c r="H90" s="17"/>
      <c r="I90" s="17"/>
      <c r="J90" s="17"/>
      <c r="K90" s="17"/>
      <c r="L90" s="17"/>
      <c r="M90" s="17"/>
      <c r="N90" s="17"/>
      <c r="O90" s="17"/>
      <c r="P90" s="17"/>
      <c r="Q90" s="17"/>
      <c r="R90" s="17"/>
      <c r="S90" s="17"/>
      <c r="T90" s="17"/>
      <c r="U90" s="17"/>
      <c r="V90" s="17"/>
      <c r="W90" s="17"/>
      <c r="X90" s="17"/>
      <c r="Y90" s="17"/>
      <c r="Z90" s="17"/>
      <c r="AA90" s="17"/>
    </row>
    <row r="91" spans="1:27" ht="14.25" customHeight="1">
      <c r="A91" s="25"/>
      <c r="B91" s="25"/>
      <c r="C91" s="25"/>
      <c r="D91" s="55"/>
      <c r="E91" s="17"/>
      <c r="F91" s="17"/>
      <c r="G91" s="17"/>
      <c r="H91" s="17"/>
      <c r="I91" s="17"/>
      <c r="J91" s="17"/>
      <c r="K91" s="17"/>
      <c r="L91" s="17"/>
      <c r="M91" s="17"/>
      <c r="N91" s="17"/>
      <c r="O91" s="17"/>
      <c r="P91" s="17"/>
      <c r="Q91" s="17"/>
      <c r="R91" s="17"/>
      <c r="S91" s="17"/>
      <c r="T91" s="17"/>
      <c r="U91" s="17"/>
      <c r="V91" s="17"/>
      <c r="W91" s="17"/>
      <c r="X91" s="17"/>
      <c r="Y91" s="17"/>
      <c r="Z91" s="17"/>
      <c r="AA91" s="17"/>
    </row>
    <row r="92" spans="1:27" ht="14.25" customHeight="1">
      <c r="A92" s="25"/>
      <c r="B92" s="25"/>
      <c r="C92" s="25"/>
      <c r="D92" s="55"/>
      <c r="E92" s="17"/>
      <c r="F92" s="17"/>
      <c r="G92" s="17"/>
      <c r="H92" s="17"/>
      <c r="I92" s="17"/>
      <c r="J92" s="17"/>
      <c r="K92" s="17"/>
      <c r="L92" s="17"/>
      <c r="M92" s="17"/>
      <c r="N92" s="17"/>
      <c r="O92" s="17"/>
      <c r="P92" s="17"/>
      <c r="Q92" s="17"/>
      <c r="R92" s="17"/>
      <c r="S92" s="17"/>
      <c r="T92" s="17"/>
      <c r="U92" s="17"/>
      <c r="V92" s="17"/>
      <c r="W92" s="17"/>
      <c r="X92" s="17"/>
      <c r="Y92" s="17"/>
      <c r="Z92" s="17"/>
      <c r="AA92" s="17"/>
    </row>
    <row r="93" spans="1:27" ht="14.25" customHeight="1">
      <c r="A93" s="25"/>
      <c r="B93" s="25"/>
      <c r="C93" s="25"/>
      <c r="D93" s="55"/>
      <c r="E93" s="17"/>
      <c r="F93" s="17"/>
      <c r="G93" s="17"/>
      <c r="H93" s="17"/>
      <c r="I93" s="17"/>
      <c r="J93" s="17"/>
      <c r="K93" s="17"/>
      <c r="L93" s="17"/>
      <c r="M93" s="17"/>
      <c r="N93" s="17"/>
      <c r="O93" s="17"/>
      <c r="P93" s="17"/>
      <c r="Q93" s="17"/>
      <c r="R93" s="17"/>
      <c r="S93" s="17"/>
      <c r="T93" s="17"/>
      <c r="U93" s="17"/>
      <c r="V93" s="17"/>
      <c r="W93" s="17"/>
      <c r="X93" s="17"/>
      <c r="Y93" s="17"/>
      <c r="Z93" s="17"/>
      <c r="AA93" s="17"/>
    </row>
    <row r="94" spans="1:27" ht="14.25" customHeight="1">
      <c r="A94" s="25"/>
      <c r="B94" s="25"/>
      <c r="C94" s="25"/>
      <c r="D94" s="55"/>
      <c r="E94" s="17"/>
      <c r="F94" s="17"/>
      <c r="G94" s="17"/>
      <c r="H94" s="17"/>
      <c r="I94" s="17"/>
      <c r="J94" s="17"/>
      <c r="K94" s="17"/>
      <c r="L94" s="17"/>
      <c r="M94" s="17"/>
      <c r="N94" s="17"/>
      <c r="O94" s="17"/>
      <c r="P94" s="17"/>
      <c r="Q94" s="17"/>
      <c r="R94" s="17"/>
      <c r="S94" s="17"/>
      <c r="T94" s="17"/>
      <c r="U94" s="17"/>
      <c r="V94" s="17"/>
      <c r="W94" s="17"/>
      <c r="X94" s="17"/>
      <c r="Y94" s="17"/>
      <c r="Z94" s="17"/>
      <c r="AA94" s="17"/>
    </row>
    <row r="95" spans="1:27" ht="14.25" customHeight="1">
      <c r="A95" s="25"/>
      <c r="B95" s="25"/>
      <c r="C95" s="25"/>
      <c r="D95" s="55"/>
      <c r="E95" s="17"/>
      <c r="F95" s="17"/>
      <c r="G95" s="17"/>
      <c r="H95" s="17"/>
      <c r="I95" s="17"/>
      <c r="J95" s="17"/>
      <c r="K95" s="17"/>
      <c r="L95" s="17"/>
      <c r="M95" s="17"/>
      <c r="N95" s="17"/>
      <c r="O95" s="17"/>
      <c r="P95" s="17"/>
      <c r="Q95" s="17"/>
      <c r="R95" s="17"/>
      <c r="S95" s="17"/>
      <c r="T95" s="17"/>
      <c r="U95" s="17"/>
      <c r="V95" s="17"/>
      <c r="W95" s="17"/>
      <c r="X95" s="17"/>
      <c r="Y95" s="17"/>
      <c r="Z95" s="17"/>
      <c r="AA95" s="17"/>
    </row>
    <row r="96" spans="1:27" ht="14.25" customHeight="1">
      <c r="A96" s="25"/>
      <c r="B96" s="25"/>
      <c r="C96" s="25"/>
      <c r="D96" s="55"/>
      <c r="E96" s="17"/>
      <c r="F96" s="17"/>
      <c r="G96" s="17"/>
      <c r="H96" s="17"/>
      <c r="I96" s="17"/>
      <c r="J96" s="17"/>
      <c r="K96" s="17"/>
      <c r="L96" s="17"/>
      <c r="M96" s="17"/>
      <c r="N96" s="17"/>
      <c r="O96" s="17"/>
      <c r="P96" s="17"/>
      <c r="Q96" s="17"/>
      <c r="R96" s="17"/>
      <c r="S96" s="17"/>
      <c r="T96" s="17"/>
      <c r="U96" s="17"/>
      <c r="V96" s="17"/>
      <c r="W96" s="17"/>
      <c r="X96" s="17"/>
      <c r="Y96" s="17"/>
      <c r="Z96" s="17"/>
      <c r="AA96" s="17"/>
    </row>
    <row r="97" spans="1:27" ht="14.25" customHeight="1">
      <c r="A97" s="25"/>
      <c r="B97" s="25"/>
      <c r="C97" s="25"/>
      <c r="D97" s="55"/>
      <c r="E97" s="17"/>
      <c r="F97" s="17"/>
      <c r="G97" s="17"/>
      <c r="H97" s="17"/>
      <c r="I97" s="17"/>
      <c r="J97" s="17"/>
      <c r="K97" s="17"/>
      <c r="L97" s="17"/>
      <c r="M97" s="17"/>
      <c r="N97" s="17"/>
      <c r="O97" s="17"/>
      <c r="P97" s="17"/>
      <c r="Q97" s="17"/>
      <c r="R97" s="17"/>
      <c r="S97" s="17"/>
      <c r="T97" s="17"/>
      <c r="U97" s="17"/>
      <c r="V97" s="17"/>
      <c r="W97" s="17"/>
      <c r="X97" s="17"/>
      <c r="Y97" s="17"/>
      <c r="Z97" s="17"/>
      <c r="AA97" s="17"/>
    </row>
    <row r="98" spans="1:27" ht="14.25" customHeight="1">
      <c r="A98" s="25"/>
      <c r="B98" s="25"/>
      <c r="C98" s="25"/>
      <c r="D98" s="55"/>
      <c r="E98" s="17"/>
      <c r="F98" s="17"/>
      <c r="G98" s="17"/>
      <c r="H98" s="17"/>
      <c r="I98" s="17"/>
      <c r="J98" s="17"/>
      <c r="K98" s="17"/>
      <c r="L98" s="17"/>
      <c r="M98" s="17"/>
      <c r="N98" s="17"/>
      <c r="O98" s="17"/>
      <c r="P98" s="17"/>
      <c r="Q98" s="17"/>
      <c r="R98" s="17"/>
      <c r="S98" s="17"/>
      <c r="T98" s="17"/>
      <c r="U98" s="17"/>
      <c r="V98" s="17"/>
      <c r="W98" s="17"/>
      <c r="X98" s="17"/>
      <c r="Y98" s="17"/>
      <c r="Z98" s="17"/>
      <c r="AA98" s="17"/>
    </row>
    <row r="99" spans="1:27" ht="14.25" customHeight="1">
      <c r="A99" s="25"/>
      <c r="B99" s="25"/>
      <c r="C99" s="25"/>
      <c r="D99" s="55"/>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4.25" customHeight="1">
      <c r="A100" s="25"/>
      <c r="B100" s="25"/>
      <c r="C100" s="25"/>
      <c r="D100" s="55"/>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4.25" customHeight="1">
      <c r="A101" s="25"/>
      <c r="B101" s="25"/>
      <c r="C101" s="25"/>
      <c r="D101" s="55"/>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4.25" customHeight="1">
      <c r="A102" s="25"/>
      <c r="B102" s="25"/>
      <c r="C102" s="25"/>
      <c r="D102" s="55"/>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4.25" customHeight="1">
      <c r="A103" s="25"/>
      <c r="B103" s="25"/>
      <c r="C103" s="25"/>
      <c r="D103" s="55"/>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4.25" customHeight="1">
      <c r="A104" s="25"/>
      <c r="B104" s="25"/>
      <c r="C104" s="25"/>
      <c r="D104" s="55"/>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4.25" customHeight="1">
      <c r="A105" s="25"/>
      <c r="B105" s="25"/>
      <c r="C105" s="25"/>
      <c r="D105" s="55"/>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4.25" customHeight="1">
      <c r="A106" s="25"/>
      <c r="B106" s="25"/>
      <c r="C106" s="25"/>
      <c r="D106" s="55"/>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4.25" customHeight="1">
      <c r="A107" s="25"/>
      <c r="B107" s="25"/>
      <c r="C107" s="25"/>
      <c r="D107" s="55"/>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4.25" customHeight="1">
      <c r="A108" s="25"/>
      <c r="B108" s="25"/>
      <c r="C108" s="25"/>
      <c r="D108" s="55"/>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4.25" customHeight="1">
      <c r="A109" s="25"/>
      <c r="B109" s="25"/>
      <c r="C109" s="25"/>
      <c r="D109" s="55"/>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4.25" customHeight="1">
      <c r="A110" s="25"/>
      <c r="B110" s="25"/>
      <c r="C110" s="25"/>
      <c r="D110" s="55"/>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4.25" customHeight="1">
      <c r="A111" s="25"/>
      <c r="B111" s="25"/>
      <c r="C111" s="25"/>
      <c r="D111" s="55"/>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4.25" customHeight="1">
      <c r="A112" s="25"/>
      <c r="B112" s="25"/>
      <c r="C112" s="25"/>
      <c r="D112" s="55"/>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4.25" customHeight="1">
      <c r="A113" s="25"/>
      <c r="B113" s="25"/>
      <c r="C113" s="25"/>
      <c r="D113" s="55"/>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4.25" customHeight="1">
      <c r="A114" s="25"/>
      <c r="B114" s="25"/>
      <c r="C114" s="25"/>
      <c r="D114" s="55"/>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4.25" customHeight="1">
      <c r="A115" s="25"/>
      <c r="B115" s="25"/>
      <c r="C115" s="25"/>
      <c r="D115" s="55"/>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4.25" customHeight="1">
      <c r="A116" s="25"/>
      <c r="B116" s="25"/>
      <c r="C116" s="25"/>
      <c r="D116" s="55"/>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4.25" customHeight="1">
      <c r="A117" s="25"/>
      <c r="B117" s="25"/>
      <c r="C117" s="25"/>
      <c r="D117" s="55"/>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4.25" customHeight="1">
      <c r="A118" s="25"/>
      <c r="B118" s="25"/>
      <c r="C118" s="25"/>
      <c r="D118" s="55"/>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4.25" customHeight="1">
      <c r="A119" s="25"/>
      <c r="B119" s="25"/>
      <c r="C119" s="25"/>
      <c r="D119" s="55"/>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4.25" customHeight="1">
      <c r="A120" s="25"/>
      <c r="B120" s="25"/>
      <c r="C120" s="25"/>
      <c r="D120" s="55"/>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4.25" customHeight="1">
      <c r="A121" s="25"/>
      <c r="B121" s="25"/>
      <c r="C121" s="25"/>
      <c r="D121" s="55"/>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4.25" customHeight="1">
      <c r="A122" s="25"/>
      <c r="B122" s="25"/>
      <c r="C122" s="25"/>
      <c r="D122" s="55"/>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4.25" customHeight="1">
      <c r="A123" s="25"/>
      <c r="B123" s="25"/>
      <c r="C123" s="25"/>
      <c r="D123" s="55"/>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4.25" customHeight="1">
      <c r="A124" s="25"/>
      <c r="B124" s="25"/>
      <c r="C124" s="25"/>
      <c r="D124" s="55"/>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4.25" customHeight="1">
      <c r="A125" s="25"/>
      <c r="B125" s="25"/>
      <c r="C125" s="25"/>
      <c r="D125" s="55"/>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4.25" customHeight="1">
      <c r="A126" s="25"/>
      <c r="B126" s="25"/>
      <c r="C126" s="25"/>
      <c r="D126" s="55"/>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4.25" customHeight="1">
      <c r="A127" s="25"/>
      <c r="B127" s="25"/>
      <c r="C127" s="25"/>
      <c r="D127" s="55"/>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4.25" customHeight="1">
      <c r="A128" s="25"/>
      <c r="B128" s="25"/>
      <c r="C128" s="25"/>
      <c r="D128" s="55"/>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4.25" customHeight="1">
      <c r="A129" s="25"/>
      <c r="B129" s="25"/>
      <c r="C129" s="25"/>
      <c r="D129" s="55"/>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4.25" customHeight="1">
      <c r="A130" s="25"/>
      <c r="B130" s="25"/>
      <c r="C130" s="25"/>
      <c r="D130" s="55"/>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4.25" customHeight="1">
      <c r="A131" s="25"/>
      <c r="B131" s="25"/>
      <c r="C131" s="25"/>
      <c r="D131" s="55"/>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4.25" customHeight="1">
      <c r="A132" s="25"/>
      <c r="B132" s="25"/>
      <c r="C132" s="25"/>
      <c r="D132" s="55"/>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4.25" customHeight="1">
      <c r="A133" s="25"/>
      <c r="B133" s="25"/>
      <c r="C133" s="25"/>
      <c r="D133" s="55"/>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4.25" customHeight="1">
      <c r="A134" s="25"/>
      <c r="B134" s="25"/>
      <c r="C134" s="25"/>
      <c r="D134" s="55"/>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4.25" customHeight="1">
      <c r="A135" s="25"/>
      <c r="B135" s="25"/>
      <c r="C135" s="25"/>
      <c r="D135" s="55"/>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4.25" customHeight="1">
      <c r="A136" s="25"/>
      <c r="B136" s="25"/>
      <c r="C136" s="25"/>
      <c r="D136" s="55"/>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4.25" customHeight="1">
      <c r="A137" s="25"/>
      <c r="B137" s="25"/>
      <c r="C137" s="25"/>
      <c r="D137" s="55"/>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4.25" customHeight="1">
      <c r="A138" s="25"/>
      <c r="B138" s="25"/>
      <c r="C138" s="25"/>
      <c r="D138" s="55"/>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4.25" customHeight="1">
      <c r="A139" s="25"/>
      <c r="B139" s="25"/>
      <c r="C139" s="25"/>
      <c r="D139" s="55"/>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4.25" customHeight="1">
      <c r="A140" s="25"/>
      <c r="B140" s="25"/>
      <c r="C140" s="25"/>
      <c r="D140" s="55"/>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4.25" customHeight="1">
      <c r="A141" s="25"/>
      <c r="B141" s="25"/>
      <c r="C141" s="25"/>
      <c r="D141" s="55"/>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4.25" customHeight="1">
      <c r="A142" s="25"/>
      <c r="B142" s="25"/>
      <c r="C142" s="25"/>
      <c r="D142" s="55"/>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4.25" customHeight="1">
      <c r="A143" s="25"/>
      <c r="B143" s="25"/>
      <c r="C143" s="25"/>
      <c r="D143" s="55"/>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4.25" customHeight="1">
      <c r="A144" s="25"/>
      <c r="B144" s="25"/>
      <c r="C144" s="25"/>
      <c r="D144" s="55"/>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4.25" customHeight="1">
      <c r="A145" s="25"/>
      <c r="B145" s="25"/>
      <c r="C145" s="25"/>
      <c r="D145" s="55"/>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4.25" customHeight="1">
      <c r="A146" s="25"/>
      <c r="B146" s="25"/>
      <c r="C146" s="25"/>
      <c r="D146" s="55"/>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4.25" customHeight="1">
      <c r="A147" s="25"/>
      <c r="B147" s="25"/>
      <c r="C147" s="25"/>
      <c r="D147" s="55"/>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4.25" customHeight="1">
      <c r="A148" s="25"/>
      <c r="B148" s="25"/>
      <c r="C148" s="25"/>
      <c r="D148" s="55"/>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4.25" customHeight="1">
      <c r="A149" s="25"/>
      <c r="B149" s="25"/>
      <c r="C149" s="25"/>
      <c r="D149" s="55"/>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4.25" customHeight="1">
      <c r="A150" s="25"/>
      <c r="B150" s="25"/>
      <c r="C150" s="25"/>
      <c r="D150" s="55"/>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4.25" customHeight="1">
      <c r="A151" s="25"/>
      <c r="B151" s="25"/>
      <c r="C151" s="25"/>
      <c r="D151" s="55"/>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4.25" customHeight="1">
      <c r="A152" s="25"/>
      <c r="B152" s="25"/>
      <c r="C152" s="25"/>
      <c r="D152" s="55"/>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4.25" customHeight="1">
      <c r="A153" s="25"/>
      <c r="B153" s="25"/>
      <c r="C153" s="25"/>
      <c r="D153" s="55"/>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4.25" customHeight="1">
      <c r="A154" s="25"/>
      <c r="B154" s="25"/>
      <c r="C154" s="25"/>
      <c r="D154" s="55"/>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4.25" customHeight="1">
      <c r="A155" s="25"/>
      <c r="B155" s="25"/>
      <c r="C155" s="25"/>
      <c r="D155" s="55"/>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4.25" customHeight="1">
      <c r="A156" s="25"/>
      <c r="B156" s="25"/>
      <c r="C156" s="25"/>
      <c r="D156" s="55"/>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4.25" customHeight="1">
      <c r="A157" s="25"/>
      <c r="B157" s="25"/>
      <c r="C157" s="25"/>
      <c r="D157" s="55"/>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4.25" customHeight="1">
      <c r="A158" s="25"/>
      <c r="B158" s="25"/>
      <c r="C158" s="25"/>
      <c r="D158" s="55"/>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4.25" customHeight="1">
      <c r="A159" s="25"/>
      <c r="B159" s="25"/>
      <c r="C159" s="25"/>
      <c r="D159" s="55"/>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4.25" customHeight="1">
      <c r="A160" s="25"/>
      <c r="B160" s="25"/>
      <c r="C160" s="25"/>
      <c r="D160" s="55"/>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4.25" customHeight="1">
      <c r="A161" s="25"/>
      <c r="B161" s="25"/>
      <c r="C161" s="25"/>
      <c r="D161" s="55"/>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4.25" customHeight="1">
      <c r="A162" s="25"/>
      <c r="B162" s="25"/>
      <c r="C162" s="25"/>
      <c r="D162" s="55"/>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4.25" customHeight="1">
      <c r="A163" s="25"/>
      <c r="B163" s="25"/>
      <c r="C163" s="25"/>
      <c r="D163" s="55"/>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4.25" customHeight="1">
      <c r="A164" s="25"/>
      <c r="B164" s="25"/>
      <c r="C164" s="25"/>
      <c r="D164" s="55"/>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4.25" customHeight="1">
      <c r="A165" s="25"/>
      <c r="B165" s="25"/>
      <c r="C165" s="25"/>
      <c r="D165" s="55"/>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4.25" customHeight="1">
      <c r="A166" s="25"/>
      <c r="B166" s="25"/>
      <c r="C166" s="25"/>
      <c r="D166" s="55"/>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4.25" customHeight="1">
      <c r="A167" s="25"/>
      <c r="B167" s="25"/>
      <c r="C167" s="25"/>
      <c r="D167" s="55"/>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4.25" customHeight="1">
      <c r="A168" s="25"/>
      <c r="B168" s="25"/>
      <c r="C168" s="25"/>
      <c r="D168" s="55"/>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4.25" customHeight="1">
      <c r="A169" s="25"/>
      <c r="B169" s="25"/>
      <c r="C169" s="25"/>
      <c r="D169" s="55"/>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4.25" customHeight="1">
      <c r="A170" s="25"/>
      <c r="B170" s="25"/>
      <c r="C170" s="25"/>
      <c r="D170" s="55"/>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4.25" customHeight="1">
      <c r="A171" s="25"/>
      <c r="B171" s="25"/>
      <c r="C171" s="25"/>
      <c r="D171" s="55"/>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4.25" customHeight="1">
      <c r="A172" s="25"/>
      <c r="B172" s="25"/>
      <c r="C172" s="25"/>
      <c r="D172" s="55"/>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4.25" customHeight="1">
      <c r="A173" s="25"/>
      <c r="B173" s="25"/>
      <c r="C173" s="25"/>
      <c r="D173" s="55"/>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4.25" customHeight="1">
      <c r="A174" s="25"/>
      <c r="B174" s="25"/>
      <c r="C174" s="25"/>
      <c r="D174" s="55"/>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4.25" customHeight="1">
      <c r="A175" s="25"/>
      <c r="B175" s="25"/>
      <c r="C175" s="25"/>
      <c r="D175" s="55"/>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4.25" customHeight="1">
      <c r="A176" s="25"/>
      <c r="B176" s="25"/>
      <c r="C176" s="25"/>
      <c r="D176" s="55"/>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4.25" customHeight="1">
      <c r="A177" s="25"/>
      <c r="B177" s="25"/>
      <c r="C177" s="25"/>
      <c r="D177" s="55"/>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4.25" customHeight="1">
      <c r="A178" s="25"/>
      <c r="B178" s="25"/>
      <c r="C178" s="25"/>
      <c r="D178" s="55"/>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4.25" customHeight="1">
      <c r="A179" s="25"/>
      <c r="B179" s="25"/>
      <c r="C179" s="25"/>
      <c r="D179" s="55"/>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4.25" customHeight="1">
      <c r="A180" s="25"/>
      <c r="B180" s="25"/>
      <c r="C180" s="25"/>
      <c r="D180" s="55"/>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4.25" customHeight="1">
      <c r="A181" s="25"/>
      <c r="B181" s="25"/>
      <c r="C181" s="25"/>
      <c r="D181" s="55"/>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4.25" customHeight="1">
      <c r="A182" s="25"/>
      <c r="B182" s="25"/>
      <c r="C182" s="25"/>
      <c r="D182" s="55"/>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4.25" customHeight="1">
      <c r="A183" s="25"/>
      <c r="B183" s="25"/>
      <c r="C183" s="25"/>
      <c r="D183" s="55"/>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4.25" customHeight="1">
      <c r="A184" s="25"/>
      <c r="B184" s="25"/>
      <c r="C184" s="25"/>
      <c r="D184" s="55"/>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4.25" customHeight="1">
      <c r="A185" s="25"/>
      <c r="B185" s="25"/>
      <c r="C185" s="25"/>
      <c r="D185" s="55"/>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4.25" customHeight="1">
      <c r="A186" s="25"/>
      <c r="B186" s="25"/>
      <c r="C186" s="25"/>
      <c r="D186" s="55"/>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4.25" customHeight="1">
      <c r="A187" s="25"/>
      <c r="B187" s="25"/>
      <c r="C187" s="25"/>
      <c r="D187" s="55"/>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4.25" customHeight="1">
      <c r="A188" s="25"/>
      <c r="B188" s="25"/>
      <c r="C188" s="25"/>
      <c r="D188" s="55"/>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4.25" customHeight="1">
      <c r="A189" s="25"/>
      <c r="B189" s="25"/>
      <c r="C189" s="25"/>
      <c r="D189" s="55"/>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4.25" customHeight="1">
      <c r="A190" s="25"/>
      <c r="B190" s="25"/>
      <c r="C190" s="25"/>
      <c r="D190" s="55"/>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4.25" customHeight="1">
      <c r="A191" s="25"/>
      <c r="B191" s="25"/>
      <c r="C191" s="25"/>
      <c r="D191" s="55"/>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4.25" customHeight="1">
      <c r="A192" s="25"/>
      <c r="B192" s="25"/>
      <c r="C192" s="25"/>
      <c r="D192" s="55"/>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4.25" customHeight="1">
      <c r="A193" s="25"/>
      <c r="B193" s="25"/>
      <c r="C193" s="25"/>
      <c r="D193" s="55"/>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4.25" customHeight="1">
      <c r="A194" s="25"/>
      <c r="B194" s="25"/>
      <c r="C194" s="25"/>
      <c r="D194" s="55"/>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4.25" customHeight="1">
      <c r="A195" s="25"/>
      <c r="B195" s="25"/>
      <c r="C195" s="25"/>
      <c r="D195" s="55"/>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4.25" customHeight="1">
      <c r="A196" s="25"/>
      <c r="B196" s="25"/>
      <c r="C196" s="25"/>
      <c r="D196" s="55"/>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4.25" customHeight="1">
      <c r="A197" s="25"/>
      <c r="B197" s="25"/>
      <c r="C197" s="25"/>
      <c r="D197" s="55"/>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4.25" customHeight="1">
      <c r="A198" s="25"/>
      <c r="B198" s="25"/>
      <c r="C198" s="25"/>
      <c r="D198" s="55"/>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4.25" customHeight="1">
      <c r="A199" s="25"/>
      <c r="B199" s="25"/>
      <c r="C199" s="25"/>
      <c r="D199" s="55"/>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4.25" customHeight="1">
      <c r="A200" s="25"/>
      <c r="B200" s="25"/>
      <c r="C200" s="25"/>
      <c r="D200" s="55"/>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4.25" customHeight="1">
      <c r="A201" s="25"/>
      <c r="B201" s="25"/>
      <c r="C201" s="25"/>
      <c r="D201" s="55"/>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4.25" customHeight="1">
      <c r="A202" s="25"/>
      <c r="B202" s="25"/>
      <c r="C202" s="25"/>
      <c r="D202" s="55"/>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4.25" customHeight="1">
      <c r="A203" s="25"/>
      <c r="B203" s="25"/>
      <c r="C203" s="25"/>
      <c r="D203" s="55"/>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4.25" customHeight="1">
      <c r="A204" s="25"/>
      <c r="B204" s="25"/>
      <c r="C204" s="25"/>
      <c r="D204" s="55"/>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4.25" customHeight="1">
      <c r="A205" s="25"/>
      <c r="B205" s="25"/>
      <c r="C205" s="25"/>
      <c r="D205" s="55"/>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4.25" customHeight="1">
      <c r="A206" s="25"/>
      <c r="B206" s="25"/>
      <c r="C206" s="25"/>
      <c r="D206" s="55"/>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4.25" customHeight="1">
      <c r="A207" s="25"/>
      <c r="B207" s="25"/>
      <c r="C207" s="25"/>
      <c r="D207" s="55"/>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4.25" customHeight="1">
      <c r="A208" s="25"/>
      <c r="B208" s="25"/>
      <c r="C208" s="25"/>
      <c r="D208" s="55"/>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4.25" customHeight="1">
      <c r="A209" s="25"/>
      <c r="B209" s="25"/>
      <c r="C209" s="25"/>
      <c r="D209" s="55"/>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4.25" customHeight="1">
      <c r="A210" s="25"/>
      <c r="B210" s="25"/>
      <c r="C210" s="25"/>
      <c r="D210" s="55"/>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4.25" customHeight="1">
      <c r="A211" s="25"/>
      <c r="B211" s="25"/>
      <c r="C211" s="25"/>
      <c r="D211" s="55"/>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4.25" customHeight="1">
      <c r="A212" s="25"/>
      <c r="B212" s="25"/>
      <c r="C212" s="25"/>
      <c r="D212" s="55"/>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4.25" customHeight="1">
      <c r="A213" s="25"/>
      <c r="B213" s="25"/>
      <c r="C213" s="25"/>
      <c r="D213" s="55"/>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4.25" customHeight="1">
      <c r="A214" s="25"/>
      <c r="B214" s="25"/>
      <c r="C214" s="25"/>
      <c r="D214" s="55"/>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4.25" customHeight="1">
      <c r="A215" s="25"/>
      <c r="B215" s="25"/>
      <c r="C215" s="25"/>
      <c r="D215" s="55"/>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4.25" customHeight="1">
      <c r="A216" s="25"/>
      <c r="B216" s="25"/>
      <c r="C216" s="25"/>
      <c r="D216" s="55"/>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4.25" customHeight="1">
      <c r="A217" s="25"/>
      <c r="B217" s="25"/>
      <c r="C217" s="25"/>
      <c r="D217" s="55"/>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4.25" customHeight="1">
      <c r="A218" s="25"/>
      <c r="B218" s="25"/>
      <c r="C218" s="25"/>
      <c r="D218" s="55"/>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4.25" customHeight="1">
      <c r="A219" s="25"/>
      <c r="B219" s="25"/>
      <c r="C219" s="25"/>
      <c r="D219" s="55"/>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4.25" customHeight="1">
      <c r="A220" s="25"/>
      <c r="B220" s="25"/>
      <c r="C220" s="25"/>
      <c r="D220" s="55"/>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4.25" customHeight="1"/>
    <row r="224" spans="1:2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L1"/>
    <mergeCell ref="A15:D15"/>
    <mergeCell ref="F17:G17"/>
    <mergeCell ref="B22:B26"/>
    <mergeCell ref="J4:L4"/>
    <mergeCell ref="F21:H21"/>
    <mergeCell ref="J3:L3"/>
    <mergeCell ref="J21:L21"/>
    <mergeCell ref="B16:D16"/>
    <mergeCell ref="F3:G3"/>
    <mergeCell ref="F22:H26"/>
    <mergeCell ref="A2:L2"/>
    <mergeCell ref="F19:H19"/>
    <mergeCell ref="D22:D26"/>
    <mergeCell ref="J22:L26"/>
  </mergeCells>
  <conditionalFormatting sqref="B19 D19 F19">
    <cfRule type="expression" dxfId="15" priority="1">
      <formula>LEN(TRIM(B19))=0</formula>
    </cfRule>
  </conditionalFormatting>
  <conditionalFormatting sqref="B22 D22 F22:G22">
    <cfRule type="expression" dxfId="14" priority="2">
      <formula>LEN(TRIM(B22))=0</formula>
    </cfRule>
  </conditionalFormatting>
  <conditionalFormatting sqref="D3:D5">
    <cfRule type="expression" dxfId="13" priority="3">
      <formula>LEN(TRIM(D3))=0</formula>
    </cfRule>
  </conditionalFormatting>
  <conditionalFormatting sqref="F16">
    <cfRule type="cellIs" dxfId="12" priority="4" operator="lessThan">
      <formula>10</formula>
    </cfRule>
    <cfRule type="cellIs" dxfId="11" priority="5" operator="greaterThanOrEqual">
      <formula>10</formula>
    </cfRule>
  </conditionalFormatting>
  <conditionalFormatting sqref="G7:L14">
    <cfRule type="expression" dxfId="10" priority="6">
      <formula>LEN(TRIM(G7))=0</formula>
    </cfRule>
  </conditionalFormatting>
  <conditionalFormatting sqref="H3">
    <cfRule type="expression" dxfId="9" priority="7">
      <formula>LEN(TRIM(H3))=0</formula>
    </cfRule>
  </conditionalFormatting>
  <conditionalFormatting sqref="J22">
    <cfRule type="expression" dxfId="8" priority="8">
      <formula>LEN(TRIM(J22))=0</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0"/>
  <sheetViews>
    <sheetView showGridLines="0" workbookViewId="0"/>
  </sheetViews>
  <sheetFormatPr baseColWidth="10" defaultColWidth="12.625" defaultRowHeight="15" customHeight="1"/>
  <cols>
    <col min="1" max="1" width="4.75" customWidth="1"/>
    <col min="2" max="2" width="42.875" customWidth="1"/>
    <col min="3" max="3" width="1.25" customWidth="1"/>
    <col min="4" max="4" width="43.25" customWidth="1"/>
    <col min="5" max="5" width="1.25" customWidth="1"/>
    <col min="6" max="7" width="9.125" customWidth="1"/>
    <col min="8" max="8" width="28.875" customWidth="1"/>
    <col min="9" max="9" width="9.125" customWidth="1"/>
    <col min="10" max="10" width="28.875" customWidth="1"/>
    <col min="11" max="11" width="9.125" customWidth="1"/>
    <col min="12" max="12" width="28.875" customWidth="1"/>
  </cols>
  <sheetData>
    <row r="1" spans="1:27" ht="39" customHeight="1">
      <c r="A1" s="100" t="s">
        <v>40</v>
      </c>
      <c r="B1" s="92"/>
      <c r="C1" s="92"/>
      <c r="D1" s="92"/>
      <c r="E1" s="92"/>
      <c r="F1" s="92"/>
      <c r="G1" s="92"/>
      <c r="H1" s="92"/>
      <c r="I1" s="92"/>
      <c r="J1" s="92"/>
      <c r="K1" s="92"/>
      <c r="L1" s="92"/>
      <c r="M1" s="17"/>
      <c r="N1" s="17"/>
      <c r="O1" s="17"/>
      <c r="P1" s="17"/>
      <c r="Q1" s="17"/>
      <c r="R1" s="17"/>
      <c r="S1" s="17"/>
      <c r="T1" s="17"/>
      <c r="U1" s="17"/>
      <c r="V1" s="17"/>
      <c r="W1" s="17"/>
      <c r="X1" s="17"/>
      <c r="Y1" s="17"/>
      <c r="Z1" s="17"/>
      <c r="AA1" s="17"/>
    </row>
    <row r="2" spans="1:27" ht="63" customHeight="1">
      <c r="A2" s="97" t="s">
        <v>41</v>
      </c>
      <c r="B2" s="92"/>
      <c r="C2" s="92"/>
      <c r="D2" s="92"/>
      <c r="E2" s="92"/>
      <c r="F2" s="92"/>
      <c r="G2" s="92"/>
      <c r="H2" s="92"/>
      <c r="I2" s="92"/>
      <c r="J2" s="92"/>
      <c r="K2" s="92"/>
      <c r="L2" s="92"/>
      <c r="M2" s="17"/>
      <c r="N2" s="17"/>
      <c r="O2" s="17"/>
      <c r="P2" s="17"/>
      <c r="Q2" s="17"/>
      <c r="R2" s="17"/>
      <c r="S2" s="17"/>
      <c r="T2" s="17"/>
      <c r="U2" s="17"/>
      <c r="V2" s="17"/>
      <c r="W2" s="17"/>
      <c r="X2" s="17"/>
      <c r="Y2" s="17"/>
      <c r="Z2" s="17"/>
      <c r="AA2" s="17"/>
    </row>
    <row r="3" spans="1:27" ht="14.25" customHeight="1">
      <c r="A3" s="18"/>
      <c r="B3" s="19" t="s">
        <v>42</v>
      </c>
      <c r="C3" s="20"/>
      <c r="D3" s="21" t="str">
        <f>IF('Ordre de passage'!C13="","",'Ordre de passage'!C13)</f>
        <v>ROCHE</v>
      </c>
      <c r="E3" s="19"/>
      <c r="F3" s="95" t="s">
        <v>43</v>
      </c>
      <c r="G3" s="92"/>
      <c r="H3" s="22">
        <f>IF('Ordre de passage'!D4="","",'Ordre de passage'!D4)</f>
        <v>46178</v>
      </c>
      <c r="I3" s="1"/>
      <c r="J3" s="105" t="s">
        <v>44</v>
      </c>
      <c r="K3" s="92"/>
      <c r="L3" s="92"/>
      <c r="M3" s="17"/>
      <c r="N3" s="17"/>
      <c r="O3" s="17"/>
      <c r="P3" s="17"/>
      <c r="Q3" s="17"/>
      <c r="R3" s="17"/>
      <c r="S3" s="17"/>
      <c r="T3" s="17"/>
      <c r="U3" s="17"/>
      <c r="V3" s="17"/>
      <c r="W3" s="17"/>
      <c r="X3" s="17"/>
      <c r="Y3" s="17"/>
      <c r="Z3" s="17"/>
      <c r="AA3" s="17"/>
    </row>
    <row r="4" spans="1:27" ht="14.25" customHeight="1">
      <c r="A4" s="18"/>
      <c r="B4" s="19" t="s">
        <v>45</v>
      </c>
      <c r="C4" s="23"/>
      <c r="D4" s="21" t="str">
        <f>IF('Ordre de passage'!D13="","",'Ordre de passage'!D13)</f>
        <v>Frederic</v>
      </c>
      <c r="E4" s="18"/>
      <c r="F4" s="18"/>
      <c r="H4" s="24"/>
      <c r="I4" s="24"/>
      <c r="J4" s="103" t="s">
        <v>46</v>
      </c>
      <c r="K4" s="92"/>
      <c r="L4" s="92"/>
      <c r="M4" s="17"/>
      <c r="N4" s="17"/>
      <c r="O4" s="17"/>
      <c r="P4" s="17"/>
      <c r="Q4" s="17"/>
      <c r="R4" s="17"/>
      <c r="S4" s="17"/>
      <c r="T4" s="17"/>
      <c r="U4" s="17"/>
      <c r="V4" s="17"/>
      <c r="W4" s="17"/>
      <c r="X4" s="17"/>
      <c r="Y4" s="17"/>
      <c r="Z4" s="17"/>
      <c r="AA4" s="17"/>
    </row>
    <row r="5" spans="1:27" ht="14.25" customHeight="1">
      <c r="A5" s="25"/>
      <c r="B5" s="19" t="s">
        <v>47</v>
      </c>
      <c r="C5" s="20"/>
      <c r="D5" s="21" t="str">
        <f>IF('Ordre de passage'!B13="","",'Ordre de passage'!B13)</f>
        <v>15:00 - 16:00</v>
      </c>
      <c r="E5" s="26"/>
      <c r="F5" s="26"/>
      <c r="G5" s="26"/>
      <c r="H5" s="26"/>
      <c r="I5" s="1"/>
      <c r="J5" s="17"/>
      <c r="K5" s="17"/>
      <c r="L5" s="17"/>
      <c r="M5" s="17"/>
      <c r="N5" s="17"/>
      <c r="O5" s="17"/>
      <c r="P5" s="17"/>
      <c r="Q5" s="17"/>
      <c r="R5" s="17"/>
      <c r="S5" s="17"/>
      <c r="T5" s="17"/>
      <c r="U5" s="17"/>
      <c r="V5" s="17"/>
      <c r="W5" s="17"/>
      <c r="X5" s="17"/>
      <c r="Y5" s="17"/>
      <c r="Z5" s="17"/>
      <c r="AA5" s="17"/>
    </row>
    <row r="6" spans="1:27" ht="48.75" customHeight="1">
      <c r="A6" s="27"/>
      <c r="B6" s="28" t="s">
        <v>48</v>
      </c>
      <c r="C6" s="28"/>
      <c r="D6" s="28" t="s">
        <v>49</v>
      </c>
      <c r="E6" s="28"/>
      <c r="F6" s="29" t="s">
        <v>50</v>
      </c>
      <c r="G6" s="30" t="s">
        <v>51</v>
      </c>
      <c r="H6" s="30" t="s">
        <v>52</v>
      </c>
      <c r="I6" s="30" t="s">
        <v>53</v>
      </c>
      <c r="J6" s="30" t="s">
        <v>54</v>
      </c>
      <c r="K6" s="30" t="s">
        <v>55</v>
      </c>
      <c r="L6" s="30" t="s">
        <v>56</v>
      </c>
      <c r="M6" s="17"/>
      <c r="N6" s="17"/>
      <c r="O6" s="17"/>
      <c r="P6" s="17"/>
      <c r="Q6" s="17"/>
      <c r="R6" s="17"/>
      <c r="S6" s="17"/>
      <c r="T6" s="17"/>
      <c r="U6" s="17"/>
      <c r="V6" s="17"/>
      <c r="W6" s="17"/>
      <c r="X6" s="17"/>
      <c r="Y6" s="17"/>
      <c r="Z6" s="17"/>
      <c r="AA6" s="17"/>
    </row>
    <row r="7" spans="1:27" ht="60" customHeight="1">
      <c r="A7" s="31" t="s">
        <v>57</v>
      </c>
      <c r="B7" s="32" t="s">
        <v>58</v>
      </c>
      <c r="C7" s="33"/>
      <c r="D7" s="34" t="s">
        <v>59</v>
      </c>
      <c r="E7" s="35"/>
      <c r="F7" s="36">
        <v>2</v>
      </c>
      <c r="G7" s="36">
        <v>2</v>
      </c>
      <c r="H7" s="37" t="s">
        <v>160</v>
      </c>
      <c r="I7" s="36">
        <v>2</v>
      </c>
      <c r="J7" s="37" t="s">
        <v>161</v>
      </c>
      <c r="K7" s="36"/>
      <c r="L7" s="37"/>
      <c r="M7" s="17"/>
      <c r="N7" s="17"/>
      <c r="O7" s="17"/>
      <c r="P7" s="17"/>
      <c r="Q7" s="17"/>
      <c r="R7" s="17"/>
      <c r="S7" s="17"/>
      <c r="T7" s="17"/>
      <c r="U7" s="17"/>
      <c r="V7" s="17"/>
      <c r="W7" s="17"/>
      <c r="X7" s="17"/>
      <c r="Y7" s="17"/>
      <c r="Z7" s="17"/>
      <c r="AA7" s="17"/>
    </row>
    <row r="8" spans="1:27" ht="72" customHeight="1">
      <c r="A8" s="31" t="s">
        <v>62</v>
      </c>
      <c r="B8" s="38" t="s">
        <v>63</v>
      </c>
      <c r="C8" s="39"/>
      <c r="D8" s="40" t="s">
        <v>64</v>
      </c>
      <c r="E8" s="35"/>
      <c r="F8" s="36">
        <v>2</v>
      </c>
      <c r="G8" s="36">
        <v>2</v>
      </c>
      <c r="H8" s="37" t="s">
        <v>162</v>
      </c>
      <c r="I8" s="36">
        <v>1.5</v>
      </c>
      <c r="J8" s="37" t="s">
        <v>163</v>
      </c>
      <c r="K8" s="36"/>
      <c r="L8" s="37"/>
      <c r="M8" s="17"/>
      <c r="N8" s="17"/>
      <c r="O8" s="17"/>
      <c r="P8" s="17"/>
      <c r="Q8" s="17"/>
      <c r="R8" s="17"/>
      <c r="S8" s="17"/>
      <c r="T8" s="17"/>
      <c r="U8" s="17"/>
      <c r="V8" s="17"/>
      <c r="W8" s="17"/>
      <c r="X8" s="17"/>
      <c r="Y8" s="17"/>
      <c r="Z8" s="17"/>
      <c r="AA8" s="17"/>
    </row>
    <row r="9" spans="1:27" ht="73.5" customHeight="1">
      <c r="A9" s="31" t="s">
        <v>67</v>
      </c>
      <c r="B9" s="38" t="s">
        <v>68</v>
      </c>
      <c r="C9" s="39"/>
      <c r="D9" s="40" t="s">
        <v>69</v>
      </c>
      <c r="E9" s="35"/>
      <c r="F9" s="36">
        <v>2</v>
      </c>
      <c r="G9" s="36">
        <v>2</v>
      </c>
      <c r="H9" s="37" t="s">
        <v>164</v>
      </c>
      <c r="I9" s="36">
        <v>2</v>
      </c>
      <c r="J9" s="37" t="s">
        <v>165</v>
      </c>
      <c r="K9" s="36"/>
      <c r="L9" s="37"/>
      <c r="M9" s="17"/>
      <c r="N9" s="17"/>
      <c r="O9" s="17"/>
      <c r="P9" s="17"/>
      <c r="Q9" s="17"/>
      <c r="R9" s="17"/>
      <c r="S9" s="17"/>
      <c r="T9" s="17"/>
      <c r="U9" s="17"/>
      <c r="V9" s="17"/>
      <c r="W9" s="17"/>
      <c r="X9" s="17"/>
      <c r="Y9" s="17"/>
      <c r="Z9" s="17"/>
      <c r="AA9" s="17"/>
    </row>
    <row r="10" spans="1:27" ht="71.25" customHeight="1">
      <c r="A10" s="31" t="s">
        <v>72</v>
      </c>
      <c r="B10" s="38" t="s">
        <v>73</v>
      </c>
      <c r="C10" s="39"/>
      <c r="D10" s="40" t="s">
        <v>74</v>
      </c>
      <c r="E10" s="35"/>
      <c r="F10" s="36">
        <v>2</v>
      </c>
      <c r="G10" s="36">
        <v>1.5</v>
      </c>
      <c r="H10" s="37" t="s">
        <v>166</v>
      </c>
      <c r="I10" s="36">
        <v>2</v>
      </c>
      <c r="J10" s="37" t="s">
        <v>167</v>
      </c>
      <c r="K10" s="36"/>
      <c r="L10" s="37"/>
      <c r="M10" s="17"/>
      <c r="N10" s="17"/>
      <c r="O10" s="17"/>
      <c r="P10" s="17"/>
      <c r="Q10" s="17"/>
      <c r="R10" s="17"/>
      <c r="S10" s="17"/>
      <c r="T10" s="17"/>
      <c r="U10" s="17"/>
      <c r="V10" s="17"/>
      <c r="W10" s="17"/>
      <c r="X10" s="17"/>
      <c r="Y10" s="17"/>
      <c r="Z10" s="17"/>
      <c r="AA10" s="17"/>
    </row>
    <row r="11" spans="1:27" ht="72" customHeight="1">
      <c r="A11" s="31" t="s">
        <v>77</v>
      </c>
      <c r="B11" s="38" t="s">
        <v>78</v>
      </c>
      <c r="C11" s="39"/>
      <c r="D11" s="40" t="s">
        <v>79</v>
      </c>
      <c r="E11" s="35"/>
      <c r="F11" s="36">
        <v>2</v>
      </c>
      <c r="G11" s="36">
        <v>1.5</v>
      </c>
      <c r="H11" s="37" t="s">
        <v>168</v>
      </c>
      <c r="I11" s="36">
        <v>1.5</v>
      </c>
      <c r="J11" s="37" t="s">
        <v>169</v>
      </c>
      <c r="K11" s="36"/>
      <c r="L11" s="37"/>
      <c r="M11" s="17"/>
      <c r="N11" s="17"/>
      <c r="O11" s="17"/>
      <c r="P11" s="17"/>
      <c r="Q11" s="17"/>
      <c r="R11" s="17"/>
      <c r="S11" s="17"/>
      <c r="T11" s="17"/>
      <c r="U11" s="17"/>
      <c r="V11" s="17"/>
      <c r="W11" s="17"/>
      <c r="X11" s="17"/>
      <c r="Y11" s="17"/>
      <c r="Z11" s="17"/>
      <c r="AA11" s="17"/>
    </row>
    <row r="12" spans="1:27" ht="82.5" customHeight="1">
      <c r="A12" s="41" t="s">
        <v>82</v>
      </c>
      <c r="B12" s="38" t="s">
        <v>83</v>
      </c>
      <c r="C12" s="39"/>
      <c r="D12" s="40" t="s">
        <v>84</v>
      </c>
      <c r="E12" s="35"/>
      <c r="F12" s="36">
        <v>2</v>
      </c>
      <c r="G12" s="36">
        <v>2</v>
      </c>
      <c r="H12" s="37" t="s">
        <v>170</v>
      </c>
      <c r="I12" s="36">
        <v>2</v>
      </c>
      <c r="J12" s="37" t="s">
        <v>171</v>
      </c>
      <c r="K12" s="36"/>
      <c r="L12" s="37"/>
      <c r="M12" s="17"/>
      <c r="N12" s="17"/>
      <c r="O12" s="17"/>
      <c r="P12" s="17"/>
      <c r="Q12" s="17"/>
      <c r="R12" s="17"/>
      <c r="S12" s="17"/>
      <c r="T12" s="17"/>
      <c r="U12" s="17"/>
      <c r="V12" s="17"/>
      <c r="W12" s="17"/>
      <c r="X12" s="17"/>
      <c r="Y12" s="17"/>
      <c r="Z12" s="17"/>
      <c r="AA12" s="17"/>
    </row>
    <row r="13" spans="1:27" ht="83.25" customHeight="1">
      <c r="A13" s="42" t="s">
        <v>87</v>
      </c>
      <c r="B13" s="38" t="s">
        <v>88</v>
      </c>
      <c r="C13" s="39"/>
      <c r="D13" s="40" t="s">
        <v>89</v>
      </c>
      <c r="E13" s="43"/>
      <c r="F13" s="36">
        <v>5</v>
      </c>
      <c r="G13" s="36">
        <v>4</v>
      </c>
      <c r="H13" s="37" t="s">
        <v>172</v>
      </c>
      <c r="I13" s="36">
        <v>4</v>
      </c>
      <c r="J13" s="37" t="s">
        <v>173</v>
      </c>
      <c r="K13" s="36"/>
      <c r="L13" s="37"/>
      <c r="M13" s="17"/>
      <c r="N13" s="17"/>
      <c r="O13" s="17"/>
      <c r="P13" s="17"/>
      <c r="Q13" s="17"/>
      <c r="R13" s="17"/>
      <c r="S13" s="17"/>
      <c r="T13" s="17"/>
      <c r="U13" s="17"/>
      <c r="V13" s="17"/>
      <c r="W13" s="17"/>
      <c r="X13" s="17"/>
      <c r="Y13" s="17"/>
      <c r="Z13" s="17"/>
      <c r="AA13" s="17"/>
    </row>
    <row r="14" spans="1:27" ht="39.75" customHeight="1">
      <c r="A14" s="42" t="s">
        <v>92</v>
      </c>
      <c r="B14" s="38" t="s">
        <v>93</v>
      </c>
      <c r="C14" s="39"/>
      <c r="D14" s="40" t="s">
        <v>94</v>
      </c>
      <c r="E14" s="43"/>
      <c r="F14" s="36">
        <v>3</v>
      </c>
      <c r="G14" s="36">
        <v>2</v>
      </c>
      <c r="H14" s="37" t="s">
        <v>174</v>
      </c>
      <c r="I14" s="36">
        <v>2</v>
      </c>
      <c r="J14" s="37" t="s">
        <v>175</v>
      </c>
      <c r="K14" s="36"/>
      <c r="L14" s="37"/>
      <c r="M14" s="17"/>
      <c r="N14" s="17"/>
      <c r="O14" s="17"/>
      <c r="P14" s="17"/>
      <c r="Q14" s="17"/>
      <c r="R14" s="17"/>
      <c r="S14" s="17"/>
      <c r="T14" s="17"/>
      <c r="U14" s="17"/>
      <c r="V14" s="17"/>
      <c r="W14" s="17"/>
      <c r="X14" s="17"/>
      <c r="Y14" s="17"/>
      <c r="Z14" s="17"/>
      <c r="AA14" s="17"/>
    </row>
    <row r="15" spans="1:27" ht="27.75" customHeight="1">
      <c r="A15" s="101" t="s">
        <v>97</v>
      </c>
      <c r="B15" s="92"/>
      <c r="C15" s="92"/>
      <c r="D15" s="92"/>
      <c r="E15" s="44"/>
      <c r="F15" s="45">
        <f>SUM(F7:F14)</f>
        <v>20</v>
      </c>
      <c r="G15" s="46">
        <f>SUM(G7:G14)</f>
        <v>17</v>
      </c>
      <c r="H15" s="17"/>
      <c r="I15" s="46">
        <f>SUM(I7:I14)</f>
        <v>17</v>
      </c>
      <c r="J15" s="17"/>
      <c r="K15" s="46">
        <f>SUM(K7:K14)</f>
        <v>0</v>
      </c>
      <c r="L15" s="17"/>
      <c r="M15" s="17"/>
      <c r="N15" s="17"/>
      <c r="O15" s="17"/>
      <c r="P15" s="17"/>
      <c r="Q15" s="17"/>
      <c r="R15" s="17"/>
      <c r="S15" s="17"/>
      <c r="T15" s="17"/>
      <c r="U15" s="17"/>
      <c r="V15" s="17"/>
      <c r="W15" s="17"/>
      <c r="X15" s="17"/>
      <c r="Y15" s="17"/>
      <c r="Z15" s="17"/>
      <c r="AA15" s="17"/>
    </row>
    <row r="16" spans="1:27" ht="34.5" customHeight="1">
      <c r="A16" s="25"/>
      <c r="B16" s="98" t="s">
        <v>98</v>
      </c>
      <c r="C16" s="92"/>
      <c r="D16" s="92"/>
      <c r="E16" s="47"/>
      <c r="F16" s="48">
        <f>(G15+I15+K15)/2</f>
        <v>17</v>
      </c>
      <c r="G16" s="49"/>
      <c r="H16" s="49"/>
      <c r="I16" s="17"/>
      <c r="J16" s="17"/>
      <c r="K16" s="17"/>
      <c r="L16" s="17"/>
      <c r="M16" s="17"/>
      <c r="N16" s="17"/>
      <c r="O16" s="17"/>
      <c r="P16" s="17"/>
      <c r="Q16" s="17"/>
      <c r="R16" s="17"/>
      <c r="S16" s="17"/>
      <c r="T16" s="17"/>
      <c r="U16" s="17"/>
      <c r="V16" s="17"/>
      <c r="W16" s="17"/>
      <c r="X16" s="17"/>
      <c r="Y16" s="17"/>
      <c r="Z16" s="17"/>
      <c r="AA16" s="17"/>
    </row>
    <row r="17" spans="1:27" ht="24.75" customHeight="1">
      <c r="A17" s="25"/>
      <c r="C17" s="50"/>
      <c r="D17" s="50"/>
      <c r="E17" s="51"/>
      <c r="F17" s="102" t="s">
        <v>99</v>
      </c>
      <c r="G17" s="92"/>
      <c r="H17" s="49"/>
      <c r="I17" s="17"/>
      <c r="J17" s="17"/>
      <c r="K17" s="17"/>
      <c r="L17" s="17"/>
      <c r="M17" s="17"/>
      <c r="N17" s="17"/>
      <c r="O17" s="17"/>
      <c r="P17" s="17"/>
      <c r="Q17" s="17"/>
      <c r="R17" s="17"/>
      <c r="S17" s="17"/>
      <c r="T17" s="17"/>
      <c r="U17" s="17"/>
      <c r="V17" s="17"/>
      <c r="W17" s="17"/>
      <c r="X17" s="17"/>
      <c r="Y17" s="17"/>
      <c r="Z17" s="17"/>
      <c r="AA17" s="17"/>
    </row>
    <row r="18" spans="1:27" ht="27.75" customHeight="1">
      <c r="A18" s="25"/>
      <c r="B18" s="50" t="s">
        <v>1</v>
      </c>
      <c r="C18" s="50"/>
      <c r="G18" s="52"/>
      <c r="H18" s="52"/>
      <c r="I18" s="17"/>
      <c r="J18" s="17"/>
      <c r="K18" s="17"/>
      <c r="L18" s="17"/>
      <c r="M18" s="17"/>
      <c r="N18" s="17"/>
      <c r="O18" s="17"/>
      <c r="P18" s="17"/>
      <c r="Q18" s="17"/>
      <c r="R18" s="17"/>
      <c r="S18" s="17"/>
      <c r="T18" s="17"/>
      <c r="U18" s="17"/>
      <c r="V18" s="17"/>
      <c r="W18" s="17"/>
      <c r="X18" s="17"/>
      <c r="Y18" s="17"/>
      <c r="Z18" s="17"/>
      <c r="AA18" s="17"/>
    </row>
    <row r="19" spans="1:27" ht="27.75" customHeight="1">
      <c r="A19" s="25"/>
      <c r="B19" s="21" t="str">
        <f>'Ordre de passage'!F3</f>
        <v>Tom FOURNAISE</v>
      </c>
      <c r="D19" s="21" t="str">
        <f>'Ordre de passage'!G3</f>
        <v>Djody BENCHADI</v>
      </c>
      <c r="E19" s="21"/>
      <c r="F19" s="98">
        <f>'Ordre de passage'!H3</f>
        <v>0</v>
      </c>
      <c r="G19" s="92"/>
      <c r="H19" s="92"/>
      <c r="I19" s="17"/>
      <c r="J19" s="17"/>
      <c r="K19" s="17"/>
      <c r="L19" s="17"/>
      <c r="M19" s="17"/>
      <c r="N19" s="17"/>
      <c r="O19" s="17"/>
      <c r="P19" s="17"/>
      <c r="Q19" s="17"/>
      <c r="R19" s="17"/>
      <c r="S19" s="17"/>
      <c r="T19" s="17"/>
      <c r="U19" s="17"/>
      <c r="V19" s="17"/>
      <c r="W19" s="17"/>
      <c r="X19" s="17"/>
      <c r="Y19" s="17"/>
      <c r="Z19" s="17"/>
      <c r="AA19" s="17"/>
    </row>
    <row r="20" spans="1:27" ht="8.25" customHeight="1">
      <c r="A20" s="25"/>
      <c r="E20" s="53"/>
      <c r="F20" s="53"/>
      <c r="G20" s="53"/>
      <c r="H20" s="53"/>
      <c r="I20" s="17"/>
      <c r="J20" s="17"/>
      <c r="K20" s="17"/>
      <c r="L20" s="17"/>
      <c r="M20" s="17"/>
      <c r="N20" s="17"/>
      <c r="O20" s="17"/>
      <c r="P20" s="17"/>
      <c r="Q20" s="17"/>
      <c r="R20" s="17"/>
      <c r="S20" s="17"/>
      <c r="T20" s="17"/>
      <c r="U20" s="17"/>
      <c r="V20" s="17"/>
      <c r="W20" s="17"/>
      <c r="X20" s="17"/>
      <c r="Y20" s="17"/>
      <c r="Z20" s="17"/>
      <c r="AA20" s="17"/>
    </row>
    <row r="21" spans="1:27" ht="25.5" customHeight="1">
      <c r="A21" s="25"/>
      <c r="B21" s="54" t="s">
        <v>100</v>
      </c>
      <c r="C21" s="55"/>
      <c r="D21" s="54" t="s">
        <v>101</v>
      </c>
      <c r="E21" s="54"/>
      <c r="F21" s="104" t="s">
        <v>102</v>
      </c>
      <c r="G21" s="92"/>
      <c r="H21" s="92"/>
      <c r="I21" s="17"/>
      <c r="J21" s="104" t="s">
        <v>103</v>
      </c>
      <c r="K21" s="92"/>
      <c r="L21" s="92"/>
      <c r="M21" s="17"/>
      <c r="N21" s="17"/>
      <c r="O21" s="17"/>
      <c r="P21" s="17"/>
      <c r="Q21" s="17"/>
      <c r="R21" s="17"/>
      <c r="S21" s="17"/>
      <c r="T21" s="17"/>
      <c r="U21" s="17"/>
      <c r="V21" s="17"/>
      <c r="W21" s="17"/>
      <c r="X21" s="17"/>
      <c r="Y21" s="17"/>
      <c r="Z21" s="17"/>
      <c r="AA21" s="17"/>
    </row>
    <row r="22" spans="1:27" ht="25.5" customHeight="1">
      <c r="A22" s="25"/>
      <c r="B22" s="96" t="s">
        <v>176</v>
      </c>
      <c r="C22" s="50"/>
      <c r="D22" s="96" t="s">
        <v>177</v>
      </c>
      <c r="E22" s="50"/>
      <c r="F22" s="96"/>
      <c r="G22" s="92"/>
      <c r="H22" s="92"/>
      <c r="I22" s="17"/>
      <c r="J22" s="99">
        <f>IF('Ordre de passage'!D4="","",'Ordre de passage'!D4)</f>
        <v>46178</v>
      </c>
      <c r="K22" s="92"/>
      <c r="L22" s="92"/>
      <c r="M22" s="17"/>
      <c r="N22" s="17"/>
      <c r="O22" s="17"/>
      <c r="P22" s="17"/>
      <c r="Q22" s="17"/>
      <c r="R22" s="17"/>
      <c r="S22" s="17"/>
      <c r="T22" s="17"/>
      <c r="U22" s="17"/>
      <c r="V22" s="17"/>
      <c r="W22" s="17"/>
      <c r="X22" s="17"/>
      <c r="Y22" s="17"/>
      <c r="Z22" s="17"/>
      <c r="AA22" s="17"/>
    </row>
    <row r="23" spans="1:27" ht="14.25" customHeight="1">
      <c r="A23" s="25"/>
      <c r="B23" s="92"/>
      <c r="C23" s="55"/>
      <c r="D23" s="92"/>
      <c r="E23" s="53"/>
      <c r="F23" s="92"/>
      <c r="G23" s="92"/>
      <c r="H23" s="92"/>
      <c r="I23" s="17"/>
      <c r="J23" s="92"/>
      <c r="K23" s="92"/>
      <c r="L23" s="92"/>
      <c r="M23" s="17"/>
      <c r="N23" s="17"/>
      <c r="O23" s="17"/>
      <c r="P23" s="17"/>
      <c r="Q23" s="17"/>
      <c r="R23" s="17"/>
      <c r="S23" s="17"/>
      <c r="T23" s="17"/>
      <c r="U23" s="17"/>
      <c r="V23" s="17"/>
      <c r="W23" s="17"/>
      <c r="X23" s="17"/>
      <c r="Y23" s="17"/>
      <c r="Z23" s="17"/>
      <c r="AA23" s="17"/>
    </row>
    <row r="24" spans="1:27" ht="14.25" customHeight="1">
      <c r="A24" s="25"/>
      <c r="B24" s="92"/>
      <c r="C24" s="25"/>
      <c r="D24" s="92"/>
      <c r="E24" s="53"/>
      <c r="F24" s="92"/>
      <c r="G24" s="92"/>
      <c r="H24" s="92"/>
      <c r="I24" s="17"/>
      <c r="J24" s="92"/>
      <c r="K24" s="92"/>
      <c r="L24" s="92"/>
      <c r="M24" s="17"/>
      <c r="N24" s="17"/>
      <c r="O24" s="17"/>
      <c r="P24" s="17"/>
      <c r="Q24" s="17"/>
      <c r="R24" s="17"/>
      <c r="S24" s="17"/>
      <c r="T24" s="17"/>
      <c r="U24" s="17"/>
      <c r="V24" s="17"/>
      <c r="W24" s="17"/>
      <c r="X24" s="17"/>
      <c r="Y24" s="17"/>
      <c r="Z24" s="17"/>
      <c r="AA24" s="17"/>
    </row>
    <row r="25" spans="1:27" ht="14.25" customHeight="1">
      <c r="A25" s="25"/>
      <c r="B25" s="92"/>
      <c r="C25" s="25"/>
      <c r="D25" s="92"/>
      <c r="E25" s="53"/>
      <c r="F25" s="92"/>
      <c r="G25" s="92"/>
      <c r="H25" s="92"/>
      <c r="I25" s="17"/>
      <c r="J25" s="92"/>
      <c r="K25" s="92"/>
      <c r="L25" s="92"/>
      <c r="M25" s="17"/>
      <c r="N25" s="17"/>
      <c r="O25" s="17"/>
      <c r="P25" s="17"/>
      <c r="Q25" s="17"/>
      <c r="R25" s="17"/>
      <c r="S25" s="17"/>
      <c r="T25" s="17"/>
      <c r="U25" s="17"/>
      <c r="V25" s="17"/>
      <c r="W25" s="17"/>
      <c r="X25" s="17"/>
      <c r="Y25" s="17"/>
      <c r="Z25" s="17"/>
      <c r="AA25" s="17"/>
    </row>
    <row r="26" spans="1:27" ht="14.25" customHeight="1">
      <c r="A26" s="25"/>
      <c r="B26" s="92"/>
      <c r="C26" s="25"/>
      <c r="D26" s="92"/>
      <c r="E26" s="53"/>
      <c r="F26" s="92"/>
      <c r="G26" s="92"/>
      <c r="H26" s="92"/>
      <c r="I26" s="17"/>
      <c r="J26" s="92"/>
      <c r="K26" s="92"/>
      <c r="L26" s="92"/>
      <c r="M26" s="17"/>
      <c r="N26" s="17"/>
      <c r="O26" s="17"/>
      <c r="P26" s="17"/>
      <c r="Q26" s="17"/>
      <c r="R26" s="17"/>
      <c r="S26" s="17"/>
      <c r="T26" s="17"/>
      <c r="U26" s="17"/>
      <c r="V26" s="17"/>
      <c r="W26" s="17"/>
      <c r="X26" s="17"/>
      <c r="Y26" s="17"/>
      <c r="Z26" s="17"/>
      <c r="AA26" s="17"/>
    </row>
    <row r="27" spans="1:27" ht="14.25" customHeight="1">
      <c r="A27" s="25"/>
      <c r="B27" s="25"/>
      <c r="C27" s="25"/>
      <c r="D27" s="55"/>
      <c r="E27" s="17"/>
      <c r="F27" s="17"/>
      <c r="G27" s="17"/>
      <c r="H27" s="17"/>
      <c r="I27" s="17"/>
      <c r="J27" s="17"/>
      <c r="K27" s="17"/>
      <c r="L27" s="17"/>
      <c r="M27" s="17"/>
      <c r="N27" s="17"/>
      <c r="O27" s="17"/>
      <c r="P27" s="17"/>
      <c r="Q27" s="17"/>
      <c r="R27" s="17"/>
      <c r="S27" s="17"/>
      <c r="T27" s="17"/>
      <c r="U27" s="17"/>
      <c r="V27" s="17"/>
      <c r="W27" s="17"/>
      <c r="X27" s="17"/>
      <c r="Y27" s="17"/>
      <c r="Z27" s="17"/>
      <c r="AA27" s="17"/>
    </row>
    <row r="28" spans="1:27" ht="14.25" customHeight="1">
      <c r="A28" s="25"/>
      <c r="B28" s="25"/>
      <c r="C28" s="25"/>
      <c r="D28" s="55"/>
      <c r="E28" s="17"/>
      <c r="F28" s="17"/>
      <c r="G28" s="17"/>
      <c r="H28" s="17"/>
      <c r="I28" s="17"/>
      <c r="J28" s="17"/>
      <c r="K28" s="17"/>
      <c r="L28" s="17"/>
      <c r="M28" s="17"/>
      <c r="N28" s="17"/>
      <c r="O28" s="17"/>
      <c r="P28" s="17"/>
      <c r="Q28" s="17"/>
      <c r="R28" s="17"/>
      <c r="S28" s="17"/>
      <c r="T28" s="17"/>
      <c r="U28" s="17"/>
      <c r="V28" s="17"/>
      <c r="W28" s="17"/>
      <c r="X28" s="17"/>
      <c r="Y28" s="17"/>
      <c r="Z28" s="17"/>
      <c r="AA28" s="17"/>
    </row>
    <row r="29" spans="1:27" ht="14.25" customHeight="1">
      <c r="A29" s="25"/>
      <c r="B29" s="25"/>
      <c r="C29" s="25"/>
      <c r="D29" s="55"/>
      <c r="E29" s="17"/>
      <c r="F29" s="17"/>
      <c r="G29" s="17"/>
      <c r="H29" s="17"/>
      <c r="I29" s="17"/>
      <c r="J29" s="17"/>
      <c r="K29" s="17"/>
      <c r="L29" s="17"/>
      <c r="M29" s="17"/>
      <c r="N29" s="17"/>
      <c r="O29" s="17"/>
      <c r="P29" s="17"/>
      <c r="Q29" s="17"/>
      <c r="R29" s="17"/>
      <c r="S29" s="17"/>
      <c r="T29" s="17"/>
      <c r="U29" s="17"/>
      <c r="V29" s="17"/>
      <c r="W29" s="17"/>
      <c r="X29" s="17"/>
      <c r="Y29" s="17"/>
      <c r="Z29" s="17"/>
      <c r="AA29" s="17"/>
    </row>
    <row r="30" spans="1:27" ht="14.25" customHeight="1">
      <c r="A30" s="25"/>
      <c r="B30" s="25"/>
      <c r="C30" s="25"/>
      <c r="D30" s="55"/>
      <c r="E30" s="17"/>
      <c r="F30" s="17"/>
      <c r="G30" s="17"/>
      <c r="H30" s="17"/>
      <c r="I30" s="17"/>
      <c r="J30" s="17"/>
      <c r="K30" s="17"/>
      <c r="L30" s="17"/>
      <c r="M30" s="17"/>
      <c r="N30" s="17"/>
      <c r="O30" s="17"/>
      <c r="P30" s="17"/>
      <c r="Q30" s="17"/>
      <c r="R30" s="17"/>
      <c r="S30" s="17"/>
      <c r="T30" s="17"/>
      <c r="U30" s="17"/>
      <c r="V30" s="17"/>
      <c r="W30" s="17"/>
      <c r="X30" s="17"/>
      <c r="Y30" s="17"/>
      <c r="Z30" s="17"/>
      <c r="AA30" s="17"/>
    </row>
    <row r="31" spans="1:27" ht="14.25" customHeight="1">
      <c r="A31" s="25"/>
      <c r="B31" s="25"/>
      <c r="C31" s="25"/>
      <c r="D31" s="55"/>
      <c r="E31" s="17"/>
      <c r="F31" s="17"/>
      <c r="G31" s="17"/>
      <c r="H31" s="17"/>
      <c r="I31" s="17"/>
      <c r="J31" s="17"/>
      <c r="K31" s="17"/>
      <c r="L31" s="17"/>
      <c r="M31" s="17"/>
      <c r="N31" s="17"/>
      <c r="O31" s="17"/>
      <c r="P31" s="17"/>
      <c r="Q31" s="17"/>
      <c r="R31" s="17"/>
      <c r="S31" s="17"/>
      <c r="T31" s="17"/>
      <c r="U31" s="17"/>
      <c r="V31" s="17"/>
      <c r="W31" s="17"/>
      <c r="X31" s="17"/>
      <c r="Y31" s="17"/>
      <c r="Z31" s="17"/>
      <c r="AA31" s="17"/>
    </row>
    <row r="32" spans="1:27" ht="14.25" customHeight="1">
      <c r="A32" s="25"/>
      <c r="B32" s="25"/>
      <c r="C32" s="25"/>
      <c r="D32" s="55"/>
      <c r="E32" s="17"/>
      <c r="F32" s="17"/>
      <c r="G32" s="17"/>
      <c r="H32" s="17"/>
      <c r="I32" s="17"/>
      <c r="J32" s="17"/>
      <c r="K32" s="17"/>
      <c r="L32" s="17"/>
      <c r="M32" s="17"/>
      <c r="N32" s="17"/>
      <c r="O32" s="17"/>
      <c r="P32" s="17"/>
      <c r="Q32" s="17"/>
      <c r="R32" s="17"/>
      <c r="S32" s="17"/>
      <c r="T32" s="17"/>
      <c r="U32" s="17"/>
      <c r="V32" s="17"/>
      <c r="W32" s="17"/>
      <c r="X32" s="17"/>
      <c r="Y32" s="17"/>
      <c r="Z32" s="17"/>
      <c r="AA32" s="17"/>
    </row>
    <row r="33" spans="1:27" ht="14.25" customHeight="1">
      <c r="A33" s="25"/>
      <c r="B33" s="25"/>
      <c r="C33" s="25"/>
      <c r="D33" s="55"/>
      <c r="E33" s="17"/>
      <c r="F33" s="17"/>
      <c r="G33" s="17"/>
      <c r="H33" s="17"/>
      <c r="I33" s="17"/>
      <c r="J33" s="17"/>
      <c r="K33" s="17"/>
      <c r="L33" s="17"/>
      <c r="M33" s="17"/>
      <c r="N33" s="17"/>
      <c r="O33" s="17"/>
      <c r="P33" s="17"/>
      <c r="Q33" s="17"/>
      <c r="R33" s="17"/>
      <c r="S33" s="17"/>
      <c r="T33" s="17"/>
      <c r="U33" s="17"/>
      <c r="V33" s="17"/>
      <c r="W33" s="17"/>
      <c r="X33" s="17"/>
      <c r="Y33" s="17"/>
      <c r="Z33" s="17"/>
      <c r="AA33" s="17"/>
    </row>
    <row r="34" spans="1:27" ht="14.25" customHeight="1">
      <c r="A34" s="25"/>
      <c r="B34" s="25"/>
      <c r="C34" s="25"/>
      <c r="D34" s="55"/>
      <c r="E34" s="17"/>
      <c r="F34" s="17"/>
      <c r="G34" s="17"/>
      <c r="H34" s="17"/>
      <c r="I34" s="17"/>
      <c r="J34" s="17"/>
      <c r="K34" s="17"/>
      <c r="L34" s="17"/>
      <c r="M34" s="17"/>
      <c r="N34" s="17"/>
      <c r="O34" s="17"/>
      <c r="P34" s="17"/>
      <c r="Q34" s="17"/>
      <c r="R34" s="17"/>
      <c r="S34" s="17"/>
      <c r="T34" s="17"/>
      <c r="U34" s="17"/>
      <c r="V34" s="17"/>
      <c r="W34" s="17"/>
      <c r="X34" s="17"/>
      <c r="Y34" s="17"/>
      <c r="Z34" s="17"/>
      <c r="AA34" s="17"/>
    </row>
    <row r="35" spans="1:27" ht="14.25" customHeight="1">
      <c r="A35" s="25"/>
      <c r="B35" s="25"/>
      <c r="C35" s="25"/>
      <c r="D35" s="55"/>
      <c r="E35" s="17"/>
      <c r="F35" s="17"/>
      <c r="G35" s="17"/>
      <c r="H35" s="17"/>
      <c r="I35" s="17"/>
      <c r="J35" s="17"/>
      <c r="K35" s="17"/>
      <c r="L35" s="17"/>
      <c r="M35" s="17"/>
      <c r="N35" s="17"/>
      <c r="O35" s="17"/>
      <c r="P35" s="17"/>
      <c r="Q35" s="17"/>
      <c r="R35" s="17"/>
      <c r="S35" s="17"/>
      <c r="T35" s="17"/>
      <c r="U35" s="17"/>
      <c r="V35" s="17"/>
      <c r="W35" s="17"/>
      <c r="X35" s="17"/>
      <c r="Y35" s="17"/>
      <c r="Z35" s="17"/>
      <c r="AA35" s="17"/>
    </row>
    <row r="36" spans="1:27" ht="14.25" customHeight="1">
      <c r="A36" s="25"/>
      <c r="B36" s="25"/>
      <c r="C36" s="25"/>
      <c r="D36" s="55"/>
      <c r="E36" s="17"/>
      <c r="F36" s="17"/>
      <c r="G36" s="17"/>
      <c r="H36" s="17"/>
      <c r="I36" s="17"/>
      <c r="J36" s="17"/>
      <c r="K36" s="17"/>
      <c r="L36" s="17"/>
      <c r="M36" s="17"/>
      <c r="N36" s="17"/>
      <c r="O36" s="17"/>
      <c r="P36" s="17"/>
      <c r="Q36" s="17"/>
      <c r="R36" s="17"/>
      <c r="S36" s="17"/>
      <c r="T36" s="17"/>
      <c r="U36" s="17"/>
      <c r="V36" s="17"/>
      <c r="W36" s="17"/>
      <c r="X36" s="17"/>
      <c r="Y36" s="17"/>
      <c r="Z36" s="17"/>
      <c r="AA36" s="17"/>
    </row>
    <row r="37" spans="1:27" ht="14.25" customHeight="1">
      <c r="A37" s="25"/>
      <c r="B37" s="25"/>
      <c r="C37" s="25"/>
      <c r="D37" s="55"/>
      <c r="E37" s="17"/>
      <c r="F37" s="17"/>
      <c r="G37" s="17"/>
      <c r="H37" s="17"/>
      <c r="I37" s="17"/>
      <c r="J37" s="17"/>
      <c r="K37" s="17"/>
      <c r="L37" s="17"/>
      <c r="M37" s="17"/>
      <c r="N37" s="17"/>
      <c r="O37" s="17"/>
      <c r="P37" s="17"/>
      <c r="Q37" s="17"/>
      <c r="R37" s="17"/>
      <c r="S37" s="17"/>
      <c r="T37" s="17"/>
      <c r="U37" s="17"/>
      <c r="V37" s="17"/>
      <c r="W37" s="17"/>
      <c r="X37" s="17"/>
      <c r="Y37" s="17"/>
      <c r="Z37" s="17"/>
      <c r="AA37" s="17"/>
    </row>
    <row r="38" spans="1:27" ht="14.25" customHeight="1">
      <c r="A38" s="25"/>
      <c r="B38" s="25"/>
      <c r="C38" s="25"/>
      <c r="D38" s="55"/>
      <c r="E38" s="17"/>
      <c r="F38" s="17"/>
      <c r="G38" s="17"/>
      <c r="H38" s="17"/>
      <c r="I38" s="17"/>
      <c r="J38" s="17"/>
      <c r="K38" s="17"/>
      <c r="L38" s="17"/>
      <c r="M38" s="17"/>
      <c r="N38" s="17"/>
      <c r="O38" s="17"/>
      <c r="P38" s="17"/>
      <c r="Q38" s="17"/>
      <c r="R38" s="17"/>
      <c r="S38" s="17"/>
      <c r="T38" s="17"/>
      <c r="U38" s="17"/>
      <c r="V38" s="17"/>
      <c r="W38" s="17"/>
      <c r="X38" s="17"/>
      <c r="Y38" s="17"/>
      <c r="Z38" s="17"/>
      <c r="AA38" s="17"/>
    </row>
    <row r="39" spans="1:27" ht="14.25" customHeight="1">
      <c r="A39" s="25"/>
      <c r="B39" s="25"/>
      <c r="C39" s="25"/>
      <c r="D39" s="55"/>
      <c r="E39" s="17"/>
      <c r="F39" s="17"/>
      <c r="G39" s="17"/>
      <c r="H39" s="17"/>
      <c r="I39" s="17"/>
      <c r="J39" s="17"/>
      <c r="K39" s="17"/>
      <c r="L39" s="17"/>
      <c r="M39" s="17"/>
      <c r="N39" s="17"/>
      <c r="O39" s="17"/>
      <c r="P39" s="17"/>
      <c r="Q39" s="17"/>
      <c r="R39" s="17"/>
      <c r="S39" s="17"/>
      <c r="T39" s="17"/>
      <c r="U39" s="17"/>
      <c r="V39" s="17"/>
      <c r="W39" s="17"/>
      <c r="X39" s="17"/>
      <c r="Y39" s="17"/>
      <c r="Z39" s="17"/>
      <c r="AA39" s="17"/>
    </row>
    <row r="40" spans="1:27" ht="14.25" customHeight="1">
      <c r="A40" s="25"/>
      <c r="B40" s="25"/>
      <c r="C40" s="25"/>
      <c r="D40" s="55"/>
      <c r="E40" s="17"/>
      <c r="F40" s="17"/>
      <c r="G40" s="17"/>
      <c r="H40" s="17"/>
      <c r="I40" s="17"/>
      <c r="J40" s="17"/>
      <c r="K40" s="17"/>
      <c r="L40" s="17"/>
      <c r="M40" s="17"/>
      <c r="N40" s="17"/>
      <c r="O40" s="17"/>
      <c r="P40" s="17"/>
      <c r="Q40" s="17"/>
      <c r="R40" s="17"/>
      <c r="S40" s="17"/>
      <c r="T40" s="17"/>
      <c r="U40" s="17"/>
      <c r="V40" s="17"/>
      <c r="W40" s="17"/>
      <c r="X40" s="17"/>
      <c r="Y40" s="17"/>
      <c r="Z40" s="17"/>
      <c r="AA40" s="17"/>
    </row>
    <row r="41" spans="1:27" ht="14.25" customHeight="1">
      <c r="A41" s="25"/>
      <c r="B41" s="25"/>
      <c r="C41" s="25"/>
      <c r="D41" s="55"/>
      <c r="E41" s="17"/>
      <c r="F41" s="17"/>
      <c r="G41" s="17"/>
      <c r="H41" s="17"/>
      <c r="I41" s="17"/>
      <c r="J41" s="17"/>
      <c r="K41" s="17"/>
      <c r="L41" s="17"/>
      <c r="M41" s="17"/>
      <c r="N41" s="17"/>
      <c r="O41" s="17"/>
      <c r="P41" s="17"/>
      <c r="Q41" s="17"/>
      <c r="R41" s="17"/>
      <c r="S41" s="17"/>
      <c r="T41" s="17"/>
      <c r="U41" s="17"/>
      <c r="V41" s="17"/>
      <c r="W41" s="17"/>
      <c r="X41" s="17"/>
      <c r="Y41" s="17"/>
      <c r="Z41" s="17"/>
      <c r="AA41" s="17"/>
    </row>
    <row r="42" spans="1:27" ht="14.25" customHeight="1">
      <c r="A42" s="25"/>
      <c r="B42" s="25"/>
      <c r="C42" s="25"/>
      <c r="D42" s="55"/>
      <c r="E42" s="17"/>
      <c r="F42" s="17"/>
      <c r="G42" s="17"/>
      <c r="H42" s="17"/>
      <c r="I42" s="17"/>
      <c r="J42" s="17"/>
      <c r="K42" s="17"/>
      <c r="L42" s="17"/>
      <c r="M42" s="17"/>
      <c r="N42" s="17"/>
      <c r="O42" s="17"/>
      <c r="P42" s="17"/>
      <c r="Q42" s="17"/>
      <c r="R42" s="17"/>
      <c r="S42" s="17"/>
      <c r="T42" s="17"/>
      <c r="U42" s="17"/>
      <c r="V42" s="17"/>
      <c r="W42" s="17"/>
      <c r="X42" s="17"/>
      <c r="Y42" s="17"/>
      <c r="Z42" s="17"/>
      <c r="AA42" s="17"/>
    </row>
    <row r="43" spans="1:27" ht="14.25" customHeight="1">
      <c r="A43" s="25"/>
      <c r="B43" s="25"/>
      <c r="C43" s="25"/>
      <c r="D43" s="55"/>
      <c r="E43" s="17"/>
      <c r="F43" s="17"/>
      <c r="G43" s="17"/>
      <c r="H43" s="17"/>
      <c r="I43" s="17"/>
      <c r="J43" s="17"/>
      <c r="K43" s="17"/>
      <c r="L43" s="17"/>
      <c r="M43" s="17"/>
      <c r="N43" s="17"/>
      <c r="O43" s="17"/>
      <c r="P43" s="17"/>
      <c r="Q43" s="17"/>
      <c r="R43" s="17"/>
      <c r="S43" s="17"/>
      <c r="T43" s="17"/>
      <c r="U43" s="17"/>
      <c r="V43" s="17"/>
      <c r="W43" s="17"/>
      <c r="X43" s="17"/>
      <c r="Y43" s="17"/>
      <c r="Z43" s="17"/>
      <c r="AA43" s="17"/>
    </row>
    <row r="44" spans="1:27" ht="14.25" customHeight="1">
      <c r="A44" s="25"/>
      <c r="B44" s="25"/>
      <c r="C44" s="25"/>
      <c r="D44" s="55"/>
      <c r="E44" s="17"/>
      <c r="F44" s="17"/>
      <c r="G44" s="17"/>
      <c r="H44" s="17"/>
      <c r="I44" s="17"/>
      <c r="J44" s="17"/>
      <c r="K44" s="17"/>
      <c r="L44" s="17"/>
      <c r="M44" s="17"/>
      <c r="N44" s="17"/>
      <c r="O44" s="17"/>
      <c r="P44" s="17"/>
      <c r="Q44" s="17"/>
      <c r="R44" s="17"/>
      <c r="S44" s="17"/>
      <c r="T44" s="17"/>
      <c r="U44" s="17"/>
      <c r="V44" s="17"/>
      <c r="W44" s="17"/>
      <c r="X44" s="17"/>
      <c r="Y44" s="17"/>
      <c r="Z44" s="17"/>
      <c r="AA44" s="17"/>
    </row>
    <row r="45" spans="1:27" ht="14.25" customHeight="1">
      <c r="A45" s="25"/>
      <c r="B45" s="25"/>
      <c r="C45" s="25"/>
      <c r="D45" s="55"/>
      <c r="E45" s="17"/>
      <c r="F45" s="17"/>
      <c r="G45" s="17"/>
      <c r="H45" s="17"/>
      <c r="I45" s="17"/>
      <c r="J45" s="17"/>
      <c r="K45" s="17"/>
      <c r="L45" s="17"/>
      <c r="M45" s="17"/>
      <c r="N45" s="17"/>
      <c r="O45" s="17"/>
      <c r="P45" s="17"/>
      <c r="Q45" s="17"/>
      <c r="R45" s="17"/>
      <c r="S45" s="17"/>
      <c r="T45" s="17"/>
      <c r="U45" s="17"/>
      <c r="V45" s="17"/>
      <c r="W45" s="17"/>
      <c r="X45" s="17"/>
      <c r="Y45" s="17"/>
      <c r="Z45" s="17"/>
      <c r="AA45" s="17"/>
    </row>
    <row r="46" spans="1:27" ht="14.25" customHeight="1">
      <c r="A46" s="25"/>
      <c r="B46" s="25"/>
      <c r="C46" s="25"/>
      <c r="D46" s="55"/>
      <c r="E46" s="17"/>
      <c r="F46" s="17"/>
      <c r="G46" s="17"/>
      <c r="H46" s="17"/>
      <c r="I46" s="17"/>
      <c r="J46" s="17"/>
      <c r="K46" s="17"/>
      <c r="L46" s="17"/>
      <c r="M46" s="17"/>
      <c r="N46" s="17"/>
      <c r="O46" s="17"/>
      <c r="P46" s="17"/>
      <c r="Q46" s="17"/>
      <c r="R46" s="17"/>
      <c r="S46" s="17"/>
      <c r="T46" s="17"/>
      <c r="U46" s="17"/>
      <c r="V46" s="17"/>
      <c r="W46" s="17"/>
      <c r="X46" s="17"/>
      <c r="Y46" s="17"/>
      <c r="Z46" s="17"/>
      <c r="AA46" s="17"/>
    </row>
    <row r="47" spans="1:27" ht="14.25" customHeight="1">
      <c r="A47" s="25"/>
      <c r="B47" s="25"/>
      <c r="C47" s="25"/>
      <c r="D47" s="55"/>
      <c r="E47" s="17"/>
      <c r="F47" s="17"/>
      <c r="G47" s="17"/>
      <c r="H47" s="17"/>
      <c r="I47" s="17"/>
      <c r="J47" s="17"/>
      <c r="K47" s="17"/>
      <c r="L47" s="17"/>
      <c r="M47" s="17"/>
      <c r="N47" s="17"/>
      <c r="O47" s="17"/>
      <c r="P47" s="17"/>
      <c r="Q47" s="17"/>
      <c r="R47" s="17"/>
      <c r="S47" s="17"/>
      <c r="T47" s="17"/>
      <c r="U47" s="17"/>
      <c r="V47" s="17"/>
      <c r="W47" s="17"/>
      <c r="X47" s="17"/>
      <c r="Y47" s="17"/>
      <c r="Z47" s="17"/>
      <c r="AA47" s="17"/>
    </row>
    <row r="48" spans="1:27" ht="14.25" customHeight="1">
      <c r="A48" s="25"/>
      <c r="B48" s="25"/>
      <c r="C48" s="25"/>
      <c r="D48" s="55"/>
      <c r="E48" s="17"/>
      <c r="F48" s="17"/>
      <c r="G48" s="17"/>
      <c r="H48" s="17"/>
      <c r="I48" s="17"/>
      <c r="J48" s="17"/>
      <c r="K48" s="17"/>
      <c r="L48" s="17"/>
      <c r="M48" s="17"/>
      <c r="N48" s="17"/>
      <c r="O48" s="17"/>
      <c r="P48" s="17"/>
      <c r="Q48" s="17"/>
      <c r="R48" s="17"/>
      <c r="S48" s="17"/>
      <c r="T48" s="17"/>
      <c r="U48" s="17"/>
      <c r="V48" s="17"/>
      <c r="W48" s="17"/>
      <c r="X48" s="17"/>
      <c r="Y48" s="17"/>
      <c r="Z48" s="17"/>
      <c r="AA48" s="17"/>
    </row>
    <row r="49" spans="1:27" ht="14.25" customHeight="1">
      <c r="A49" s="25"/>
      <c r="B49" s="25"/>
      <c r="C49" s="25"/>
      <c r="D49" s="55"/>
      <c r="E49" s="17"/>
      <c r="F49" s="17"/>
      <c r="G49" s="17"/>
      <c r="H49" s="17"/>
      <c r="I49" s="17"/>
      <c r="J49" s="17"/>
      <c r="K49" s="17"/>
      <c r="L49" s="17"/>
      <c r="M49" s="17"/>
      <c r="N49" s="17"/>
      <c r="O49" s="17"/>
      <c r="P49" s="17"/>
      <c r="Q49" s="17"/>
      <c r="R49" s="17"/>
      <c r="S49" s="17"/>
      <c r="T49" s="17"/>
      <c r="U49" s="17"/>
      <c r="V49" s="17"/>
      <c r="W49" s="17"/>
      <c r="X49" s="17"/>
      <c r="Y49" s="17"/>
      <c r="Z49" s="17"/>
      <c r="AA49" s="17"/>
    </row>
    <row r="50" spans="1:27" ht="14.25" customHeight="1">
      <c r="A50" s="25"/>
      <c r="B50" s="25"/>
      <c r="C50" s="25"/>
      <c r="D50" s="55"/>
      <c r="E50" s="17"/>
      <c r="F50" s="17"/>
      <c r="G50" s="17"/>
      <c r="H50" s="17"/>
      <c r="I50" s="17"/>
      <c r="J50" s="17"/>
      <c r="K50" s="17"/>
      <c r="L50" s="17"/>
      <c r="M50" s="17"/>
      <c r="N50" s="17"/>
      <c r="O50" s="17"/>
      <c r="P50" s="17"/>
      <c r="Q50" s="17"/>
      <c r="R50" s="17"/>
      <c r="S50" s="17"/>
      <c r="T50" s="17"/>
      <c r="U50" s="17"/>
      <c r="V50" s="17"/>
      <c r="W50" s="17"/>
      <c r="X50" s="17"/>
      <c r="Y50" s="17"/>
      <c r="Z50" s="17"/>
      <c r="AA50" s="17"/>
    </row>
    <row r="51" spans="1:27" ht="14.25" customHeight="1">
      <c r="A51" s="25"/>
      <c r="B51" s="25"/>
      <c r="C51" s="25"/>
      <c r="D51" s="55"/>
      <c r="E51" s="17"/>
      <c r="F51" s="17"/>
      <c r="G51" s="17"/>
      <c r="H51" s="17"/>
      <c r="I51" s="17"/>
      <c r="J51" s="17"/>
      <c r="K51" s="17"/>
      <c r="L51" s="17"/>
      <c r="M51" s="17"/>
      <c r="N51" s="17"/>
      <c r="O51" s="17"/>
      <c r="P51" s="17"/>
      <c r="Q51" s="17"/>
      <c r="R51" s="17"/>
      <c r="S51" s="17"/>
      <c r="T51" s="17"/>
      <c r="U51" s="17"/>
      <c r="V51" s="17"/>
      <c r="W51" s="17"/>
      <c r="X51" s="17"/>
      <c r="Y51" s="17"/>
      <c r="Z51" s="17"/>
      <c r="AA51" s="17"/>
    </row>
    <row r="52" spans="1:27" ht="14.25" customHeight="1">
      <c r="A52" s="25"/>
      <c r="B52" s="25"/>
      <c r="C52" s="25"/>
      <c r="D52" s="55"/>
      <c r="E52" s="17"/>
      <c r="F52" s="17"/>
      <c r="G52" s="17"/>
      <c r="H52" s="17"/>
      <c r="I52" s="17"/>
      <c r="J52" s="17"/>
      <c r="K52" s="17"/>
      <c r="L52" s="17"/>
      <c r="M52" s="17"/>
      <c r="N52" s="17"/>
      <c r="O52" s="17"/>
      <c r="P52" s="17"/>
      <c r="Q52" s="17"/>
      <c r="R52" s="17"/>
      <c r="S52" s="17"/>
      <c r="T52" s="17"/>
      <c r="U52" s="17"/>
      <c r="V52" s="17"/>
      <c r="W52" s="17"/>
      <c r="X52" s="17"/>
      <c r="Y52" s="17"/>
      <c r="Z52" s="17"/>
      <c r="AA52" s="17"/>
    </row>
    <row r="53" spans="1:27" ht="14.25" customHeight="1">
      <c r="A53" s="25"/>
      <c r="B53" s="25"/>
      <c r="C53" s="25"/>
      <c r="D53" s="55"/>
      <c r="E53" s="17"/>
      <c r="F53" s="17"/>
      <c r="G53" s="17"/>
      <c r="H53" s="17"/>
      <c r="I53" s="17"/>
      <c r="J53" s="17"/>
      <c r="K53" s="17"/>
      <c r="L53" s="17"/>
      <c r="M53" s="17"/>
      <c r="N53" s="17"/>
      <c r="O53" s="17"/>
      <c r="P53" s="17"/>
      <c r="Q53" s="17"/>
      <c r="R53" s="17"/>
      <c r="S53" s="17"/>
      <c r="T53" s="17"/>
      <c r="U53" s="17"/>
      <c r="V53" s="17"/>
      <c r="W53" s="17"/>
      <c r="X53" s="17"/>
      <c r="Y53" s="17"/>
      <c r="Z53" s="17"/>
      <c r="AA53" s="17"/>
    </row>
    <row r="54" spans="1:27" ht="14.25" customHeight="1">
      <c r="A54" s="25"/>
      <c r="B54" s="25"/>
      <c r="C54" s="25"/>
      <c r="D54" s="55"/>
      <c r="E54" s="17"/>
      <c r="F54" s="17"/>
      <c r="G54" s="17"/>
      <c r="H54" s="17"/>
      <c r="I54" s="17"/>
      <c r="J54" s="17"/>
      <c r="K54" s="17"/>
      <c r="L54" s="17"/>
      <c r="M54" s="17"/>
      <c r="N54" s="17"/>
      <c r="O54" s="17"/>
      <c r="P54" s="17"/>
      <c r="Q54" s="17"/>
      <c r="R54" s="17"/>
      <c r="S54" s="17"/>
      <c r="T54" s="17"/>
      <c r="U54" s="17"/>
      <c r="V54" s="17"/>
      <c r="W54" s="17"/>
      <c r="X54" s="17"/>
      <c r="Y54" s="17"/>
      <c r="Z54" s="17"/>
      <c r="AA54" s="17"/>
    </row>
    <row r="55" spans="1:27" ht="14.25" customHeight="1">
      <c r="A55" s="25"/>
      <c r="B55" s="25"/>
      <c r="C55" s="25"/>
      <c r="D55" s="55"/>
      <c r="E55" s="17"/>
      <c r="F55" s="17"/>
      <c r="G55" s="17"/>
      <c r="H55" s="17"/>
      <c r="I55" s="17"/>
      <c r="J55" s="17"/>
      <c r="K55" s="17"/>
      <c r="L55" s="17"/>
      <c r="M55" s="17"/>
      <c r="N55" s="17"/>
      <c r="O55" s="17"/>
      <c r="P55" s="17"/>
      <c r="Q55" s="17"/>
      <c r="R55" s="17"/>
      <c r="S55" s="17"/>
      <c r="T55" s="17"/>
      <c r="U55" s="17"/>
      <c r="V55" s="17"/>
      <c r="W55" s="17"/>
      <c r="X55" s="17"/>
      <c r="Y55" s="17"/>
      <c r="Z55" s="17"/>
      <c r="AA55" s="17"/>
    </row>
    <row r="56" spans="1:27" ht="14.25" customHeight="1">
      <c r="A56" s="25"/>
      <c r="B56" s="25"/>
      <c r="C56" s="25"/>
      <c r="D56" s="55"/>
      <c r="E56" s="17"/>
      <c r="F56" s="17"/>
      <c r="G56" s="17"/>
      <c r="H56" s="17"/>
      <c r="I56" s="17"/>
      <c r="J56" s="17"/>
      <c r="K56" s="17"/>
      <c r="L56" s="17"/>
      <c r="M56" s="17"/>
      <c r="N56" s="17"/>
      <c r="O56" s="17"/>
      <c r="P56" s="17"/>
      <c r="Q56" s="17"/>
      <c r="R56" s="17"/>
      <c r="S56" s="17"/>
      <c r="T56" s="17"/>
      <c r="U56" s="17"/>
      <c r="V56" s="17"/>
      <c r="W56" s="17"/>
      <c r="X56" s="17"/>
      <c r="Y56" s="17"/>
      <c r="Z56" s="17"/>
      <c r="AA56" s="17"/>
    </row>
    <row r="57" spans="1:27" ht="14.25" customHeight="1">
      <c r="A57" s="25"/>
      <c r="B57" s="25"/>
      <c r="C57" s="25"/>
      <c r="D57" s="55"/>
      <c r="E57" s="17"/>
      <c r="F57" s="17"/>
      <c r="G57" s="17"/>
      <c r="H57" s="17"/>
      <c r="I57" s="17"/>
      <c r="J57" s="17"/>
      <c r="K57" s="17"/>
      <c r="L57" s="17"/>
      <c r="M57" s="17"/>
      <c r="N57" s="17"/>
      <c r="O57" s="17"/>
      <c r="P57" s="17"/>
      <c r="Q57" s="17"/>
      <c r="R57" s="17"/>
      <c r="S57" s="17"/>
      <c r="T57" s="17"/>
      <c r="U57" s="17"/>
      <c r="V57" s="17"/>
      <c r="W57" s="17"/>
      <c r="X57" s="17"/>
      <c r="Y57" s="17"/>
      <c r="Z57" s="17"/>
      <c r="AA57" s="17"/>
    </row>
    <row r="58" spans="1:27" ht="14.25" customHeight="1">
      <c r="A58" s="25"/>
      <c r="B58" s="25"/>
      <c r="C58" s="25"/>
      <c r="D58" s="55"/>
      <c r="E58" s="17"/>
      <c r="F58" s="17"/>
      <c r="G58" s="17"/>
      <c r="H58" s="17"/>
      <c r="I58" s="17"/>
      <c r="J58" s="17"/>
      <c r="K58" s="17"/>
      <c r="L58" s="17"/>
      <c r="M58" s="17"/>
      <c r="N58" s="17"/>
      <c r="O58" s="17"/>
      <c r="P58" s="17"/>
      <c r="Q58" s="17"/>
      <c r="R58" s="17"/>
      <c r="S58" s="17"/>
      <c r="T58" s="17"/>
      <c r="U58" s="17"/>
      <c r="V58" s="17"/>
      <c r="W58" s="17"/>
      <c r="X58" s="17"/>
      <c r="Y58" s="17"/>
      <c r="Z58" s="17"/>
      <c r="AA58" s="17"/>
    </row>
    <row r="59" spans="1:27" ht="14.25" customHeight="1">
      <c r="A59" s="25"/>
      <c r="B59" s="25"/>
      <c r="C59" s="25"/>
      <c r="D59" s="55"/>
      <c r="E59" s="17"/>
      <c r="F59" s="17"/>
      <c r="G59" s="17"/>
      <c r="H59" s="17"/>
      <c r="I59" s="17"/>
      <c r="J59" s="17"/>
      <c r="K59" s="17"/>
      <c r="L59" s="17"/>
      <c r="M59" s="17"/>
      <c r="N59" s="17"/>
      <c r="O59" s="17"/>
      <c r="P59" s="17"/>
      <c r="Q59" s="17"/>
      <c r="R59" s="17"/>
      <c r="S59" s="17"/>
      <c r="T59" s="17"/>
      <c r="U59" s="17"/>
      <c r="V59" s="17"/>
      <c r="W59" s="17"/>
      <c r="X59" s="17"/>
      <c r="Y59" s="17"/>
      <c r="Z59" s="17"/>
      <c r="AA59" s="17"/>
    </row>
    <row r="60" spans="1:27" ht="14.25" customHeight="1">
      <c r="A60" s="25"/>
      <c r="B60" s="25"/>
      <c r="C60" s="25"/>
      <c r="D60" s="55"/>
      <c r="E60" s="17"/>
      <c r="F60" s="17"/>
      <c r="G60" s="17"/>
      <c r="H60" s="17"/>
      <c r="I60" s="17"/>
      <c r="J60" s="17"/>
      <c r="K60" s="17"/>
      <c r="L60" s="17"/>
      <c r="M60" s="17"/>
      <c r="N60" s="17"/>
      <c r="O60" s="17"/>
      <c r="P60" s="17"/>
      <c r="Q60" s="17"/>
      <c r="R60" s="17"/>
      <c r="S60" s="17"/>
      <c r="T60" s="17"/>
      <c r="U60" s="17"/>
      <c r="V60" s="17"/>
      <c r="W60" s="17"/>
      <c r="X60" s="17"/>
      <c r="Y60" s="17"/>
      <c r="Z60" s="17"/>
      <c r="AA60" s="17"/>
    </row>
    <row r="61" spans="1:27" ht="14.25" customHeight="1">
      <c r="A61" s="25"/>
      <c r="B61" s="25"/>
      <c r="C61" s="25"/>
      <c r="D61" s="55"/>
      <c r="E61" s="17"/>
      <c r="F61" s="17"/>
      <c r="G61" s="17"/>
      <c r="H61" s="17"/>
      <c r="I61" s="17"/>
      <c r="J61" s="17"/>
      <c r="K61" s="17"/>
      <c r="L61" s="17"/>
      <c r="M61" s="17"/>
      <c r="N61" s="17"/>
      <c r="O61" s="17"/>
      <c r="P61" s="17"/>
      <c r="Q61" s="17"/>
      <c r="R61" s="17"/>
      <c r="S61" s="17"/>
      <c r="T61" s="17"/>
      <c r="U61" s="17"/>
      <c r="V61" s="17"/>
      <c r="W61" s="17"/>
      <c r="X61" s="17"/>
      <c r="Y61" s="17"/>
      <c r="Z61" s="17"/>
      <c r="AA61" s="17"/>
    </row>
    <row r="62" spans="1:27" ht="14.25" customHeight="1">
      <c r="A62" s="25"/>
      <c r="B62" s="25"/>
      <c r="C62" s="25"/>
      <c r="D62" s="55"/>
      <c r="E62" s="17"/>
      <c r="F62" s="17"/>
      <c r="G62" s="17"/>
      <c r="H62" s="17"/>
      <c r="I62" s="17"/>
      <c r="J62" s="17"/>
      <c r="K62" s="17"/>
      <c r="L62" s="17"/>
      <c r="M62" s="17"/>
      <c r="N62" s="17"/>
      <c r="O62" s="17"/>
      <c r="P62" s="17"/>
      <c r="Q62" s="17"/>
      <c r="R62" s="17"/>
      <c r="S62" s="17"/>
      <c r="T62" s="17"/>
      <c r="U62" s="17"/>
      <c r="V62" s="17"/>
      <c r="W62" s="17"/>
      <c r="X62" s="17"/>
      <c r="Y62" s="17"/>
      <c r="Z62" s="17"/>
      <c r="AA62" s="17"/>
    </row>
    <row r="63" spans="1:27" ht="14.25" customHeight="1">
      <c r="A63" s="25"/>
      <c r="B63" s="25"/>
      <c r="C63" s="25"/>
      <c r="D63" s="55"/>
      <c r="E63" s="17"/>
      <c r="F63" s="17"/>
      <c r="G63" s="17"/>
      <c r="H63" s="17"/>
      <c r="I63" s="17"/>
      <c r="J63" s="17"/>
      <c r="K63" s="17"/>
      <c r="L63" s="17"/>
      <c r="M63" s="17"/>
      <c r="N63" s="17"/>
      <c r="O63" s="17"/>
      <c r="P63" s="17"/>
      <c r="Q63" s="17"/>
      <c r="R63" s="17"/>
      <c r="S63" s="17"/>
      <c r="T63" s="17"/>
      <c r="U63" s="17"/>
      <c r="V63" s="17"/>
      <c r="W63" s="17"/>
      <c r="X63" s="17"/>
      <c r="Y63" s="17"/>
      <c r="Z63" s="17"/>
      <c r="AA63" s="17"/>
    </row>
    <row r="64" spans="1:27" ht="14.25" customHeight="1">
      <c r="A64" s="25"/>
      <c r="B64" s="25"/>
      <c r="C64" s="25"/>
      <c r="D64" s="55"/>
      <c r="E64" s="17"/>
      <c r="F64" s="17"/>
      <c r="G64" s="17"/>
      <c r="H64" s="17"/>
      <c r="I64" s="17"/>
      <c r="J64" s="17"/>
      <c r="K64" s="17"/>
      <c r="L64" s="17"/>
      <c r="M64" s="17"/>
      <c r="N64" s="17"/>
      <c r="O64" s="17"/>
      <c r="P64" s="17"/>
      <c r="Q64" s="17"/>
      <c r="R64" s="17"/>
      <c r="S64" s="17"/>
      <c r="T64" s="17"/>
      <c r="U64" s="17"/>
      <c r="V64" s="17"/>
      <c r="W64" s="17"/>
      <c r="X64" s="17"/>
      <c r="Y64" s="17"/>
      <c r="Z64" s="17"/>
      <c r="AA64" s="17"/>
    </row>
    <row r="65" spans="1:27" ht="14.25" customHeight="1">
      <c r="A65" s="25"/>
      <c r="B65" s="25"/>
      <c r="C65" s="25"/>
      <c r="D65" s="55"/>
      <c r="E65" s="17"/>
      <c r="F65" s="17"/>
      <c r="G65" s="17"/>
      <c r="H65" s="17"/>
      <c r="I65" s="17"/>
      <c r="J65" s="17"/>
      <c r="K65" s="17"/>
      <c r="L65" s="17"/>
      <c r="M65" s="17"/>
      <c r="N65" s="17"/>
      <c r="O65" s="17"/>
      <c r="P65" s="17"/>
      <c r="Q65" s="17"/>
      <c r="R65" s="17"/>
      <c r="S65" s="17"/>
      <c r="T65" s="17"/>
      <c r="U65" s="17"/>
      <c r="V65" s="17"/>
      <c r="W65" s="17"/>
      <c r="X65" s="17"/>
      <c r="Y65" s="17"/>
      <c r="Z65" s="17"/>
      <c r="AA65" s="17"/>
    </row>
    <row r="66" spans="1:27" ht="14.25" customHeight="1">
      <c r="A66" s="25"/>
      <c r="B66" s="25"/>
      <c r="C66" s="25"/>
      <c r="D66" s="55"/>
      <c r="E66" s="17"/>
      <c r="F66" s="17"/>
      <c r="G66" s="17"/>
      <c r="H66" s="17"/>
      <c r="I66" s="17"/>
      <c r="J66" s="17"/>
      <c r="K66" s="17"/>
      <c r="L66" s="17"/>
      <c r="M66" s="17"/>
      <c r="N66" s="17"/>
      <c r="O66" s="17"/>
      <c r="P66" s="17"/>
      <c r="Q66" s="17"/>
      <c r="R66" s="17"/>
      <c r="S66" s="17"/>
      <c r="T66" s="17"/>
      <c r="U66" s="17"/>
      <c r="V66" s="17"/>
      <c r="W66" s="17"/>
      <c r="X66" s="17"/>
      <c r="Y66" s="17"/>
      <c r="Z66" s="17"/>
      <c r="AA66" s="17"/>
    </row>
    <row r="67" spans="1:27" ht="14.25" customHeight="1">
      <c r="A67" s="25"/>
      <c r="B67" s="25"/>
      <c r="C67" s="25"/>
      <c r="D67" s="55"/>
      <c r="E67" s="17"/>
      <c r="F67" s="17"/>
      <c r="G67" s="17"/>
      <c r="H67" s="17"/>
      <c r="I67" s="17"/>
      <c r="J67" s="17"/>
      <c r="K67" s="17"/>
      <c r="L67" s="17"/>
      <c r="M67" s="17"/>
      <c r="N67" s="17"/>
      <c r="O67" s="17"/>
      <c r="P67" s="17"/>
      <c r="Q67" s="17"/>
      <c r="R67" s="17"/>
      <c r="S67" s="17"/>
      <c r="T67" s="17"/>
      <c r="U67" s="17"/>
      <c r="V67" s="17"/>
      <c r="W67" s="17"/>
      <c r="X67" s="17"/>
      <c r="Y67" s="17"/>
      <c r="Z67" s="17"/>
      <c r="AA67" s="17"/>
    </row>
    <row r="68" spans="1:27" ht="14.25" customHeight="1">
      <c r="A68" s="25"/>
      <c r="B68" s="25"/>
      <c r="C68" s="25"/>
      <c r="D68" s="55"/>
      <c r="E68" s="17"/>
      <c r="F68" s="17"/>
      <c r="G68" s="17"/>
      <c r="H68" s="17"/>
      <c r="I68" s="17"/>
      <c r="J68" s="17"/>
      <c r="K68" s="17"/>
      <c r="L68" s="17"/>
      <c r="M68" s="17"/>
      <c r="N68" s="17"/>
      <c r="O68" s="17"/>
      <c r="P68" s="17"/>
      <c r="Q68" s="17"/>
      <c r="R68" s="17"/>
      <c r="S68" s="17"/>
      <c r="T68" s="17"/>
      <c r="U68" s="17"/>
      <c r="V68" s="17"/>
      <c r="W68" s="17"/>
      <c r="X68" s="17"/>
      <c r="Y68" s="17"/>
      <c r="Z68" s="17"/>
      <c r="AA68" s="17"/>
    </row>
    <row r="69" spans="1:27" ht="14.25" customHeight="1">
      <c r="A69" s="25"/>
      <c r="B69" s="25"/>
      <c r="C69" s="25"/>
      <c r="D69" s="55"/>
      <c r="E69" s="17"/>
      <c r="F69" s="17"/>
      <c r="G69" s="17"/>
      <c r="H69" s="17"/>
      <c r="I69" s="17"/>
      <c r="J69" s="17"/>
      <c r="K69" s="17"/>
      <c r="L69" s="17"/>
      <c r="M69" s="17"/>
      <c r="N69" s="17"/>
      <c r="O69" s="17"/>
      <c r="P69" s="17"/>
      <c r="Q69" s="17"/>
      <c r="R69" s="17"/>
      <c r="S69" s="17"/>
      <c r="T69" s="17"/>
      <c r="U69" s="17"/>
      <c r="V69" s="17"/>
      <c r="W69" s="17"/>
      <c r="X69" s="17"/>
      <c r="Y69" s="17"/>
      <c r="Z69" s="17"/>
      <c r="AA69" s="17"/>
    </row>
    <row r="70" spans="1:27" ht="14.25" customHeight="1">
      <c r="A70" s="25"/>
      <c r="B70" s="25"/>
      <c r="C70" s="25"/>
      <c r="D70" s="55"/>
      <c r="E70" s="17"/>
      <c r="F70" s="17"/>
      <c r="G70" s="17"/>
      <c r="H70" s="17"/>
      <c r="I70" s="17"/>
      <c r="J70" s="17"/>
      <c r="K70" s="17"/>
      <c r="L70" s="17"/>
      <c r="M70" s="17"/>
      <c r="N70" s="17"/>
      <c r="O70" s="17"/>
      <c r="P70" s="17"/>
      <c r="Q70" s="17"/>
      <c r="R70" s="17"/>
      <c r="S70" s="17"/>
      <c r="T70" s="17"/>
      <c r="U70" s="17"/>
      <c r="V70" s="17"/>
      <c r="W70" s="17"/>
      <c r="X70" s="17"/>
      <c r="Y70" s="17"/>
      <c r="Z70" s="17"/>
      <c r="AA70" s="17"/>
    </row>
    <row r="71" spans="1:27" ht="14.25" customHeight="1">
      <c r="A71" s="25"/>
      <c r="B71" s="25"/>
      <c r="C71" s="25"/>
      <c r="D71" s="55"/>
      <c r="E71" s="17"/>
      <c r="F71" s="17"/>
      <c r="G71" s="17"/>
      <c r="H71" s="17"/>
      <c r="I71" s="17"/>
      <c r="J71" s="17"/>
      <c r="K71" s="17"/>
      <c r="L71" s="17"/>
      <c r="M71" s="17"/>
      <c r="N71" s="17"/>
      <c r="O71" s="17"/>
      <c r="P71" s="17"/>
      <c r="Q71" s="17"/>
      <c r="R71" s="17"/>
      <c r="S71" s="17"/>
      <c r="T71" s="17"/>
      <c r="U71" s="17"/>
      <c r="V71" s="17"/>
      <c r="W71" s="17"/>
      <c r="X71" s="17"/>
      <c r="Y71" s="17"/>
      <c r="Z71" s="17"/>
      <c r="AA71" s="17"/>
    </row>
    <row r="72" spans="1:27" ht="14.25" customHeight="1">
      <c r="A72" s="25"/>
      <c r="B72" s="25"/>
      <c r="C72" s="25"/>
      <c r="D72" s="55"/>
      <c r="E72" s="17"/>
      <c r="F72" s="17"/>
      <c r="G72" s="17"/>
      <c r="H72" s="17"/>
      <c r="I72" s="17"/>
      <c r="J72" s="17"/>
      <c r="K72" s="17"/>
      <c r="L72" s="17"/>
      <c r="M72" s="17"/>
      <c r="N72" s="17"/>
      <c r="O72" s="17"/>
      <c r="P72" s="17"/>
      <c r="Q72" s="17"/>
      <c r="R72" s="17"/>
      <c r="S72" s="17"/>
      <c r="T72" s="17"/>
      <c r="U72" s="17"/>
      <c r="V72" s="17"/>
      <c r="W72" s="17"/>
      <c r="X72" s="17"/>
      <c r="Y72" s="17"/>
      <c r="Z72" s="17"/>
      <c r="AA72" s="17"/>
    </row>
    <row r="73" spans="1:27" ht="14.25" customHeight="1">
      <c r="A73" s="25"/>
      <c r="B73" s="25"/>
      <c r="C73" s="25"/>
      <c r="D73" s="55"/>
      <c r="E73" s="17"/>
      <c r="F73" s="17"/>
      <c r="G73" s="17"/>
      <c r="H73" s="17"/>
      <c r="I73" s="17"/>
      <c r="J73" s="17"/>
      <c r="K73" s="17"/>
      <c r="L73" s="17"/>
      <c r="M73" s="17"/>
      <c r="N73" s="17"/>
      <c r="O73" s="17"/>
      <c r="P73" s="17"/>
      <c r="Q73" s="17"/>
      <c r="R73" s="17"/>
      <c r="S73" s="17"/>
      <c r="T73" s="17"/>
      <c r="U73" s="17"/>
      <c r="V73" s="17"/>
      <c r="W73" s="17"/>
      <c r="X73" s="17"/>
      <c r="Y73" s="17"/>
      <c r="Z73" s="17"/>
      <c r="AA73" s="17"/>
    </row>
    <row r="74" spans="1:27" ht="14.25" customHeight="1">
      <c r="A74" s="25"/>
      <c r="B74" s="25"/>
      <c r="C74" s="25"/>
      <c r="D74" s="55"/>
      <c r="E74" s="17"/>
      <c r="F74" s="17"/>
      <c r="G74" s="17"/>
      <c r="H74" s="17"/>
      <c r="I74" s="17"/>
      <c r="J74" s="17"/>
      <c r="K74" s="17"/>
      <c r="L74" s="17"/>
      <c r="M74" s="17"/>
      <c r="N74" s="17"/>
      <c r="O74" s="17"/>
      <c r="P74" s="17"/>
      <c r="Q74" s="17"/>
      <c r="R74" s="17"/>
      <c r="S74" s="17"/>
      <c r="T74" s="17"/>
      <c r="U74" s="17"/>
      <c r="V74" s="17"/>
      <c r="W74" s="17"/>
      <c r="X74" s="17"/>
      <c r="Y74" s="17"/>
      <c r="Z74" s="17"/>
      <c r="AA74" s="17"/>
    </row>
    <row r="75" spans="1:27" ht="14.25" customHeight="1">
      <c r="A75" s="25"/>
      <c r="B75" s="25"/>
      <c r="C75" s="25"/>
      <c r="D75" s="55"/>
      <c r="E75" s="17"/>
      <c r="F75" s="17"/>
      <c r="G75" s="17"/>
      <c r="H75" s="17"/>
      <c r="I75" s="17"/>
      <c r="J75" s="17"/>
      <c r="K75" s="17"/>
      <c r="L75" s="17"/>
      <c r="M75" s="17"/>
      <c r="N75" s="17"/>
      <c r="O75" s="17"/>
      <c r="P75" s="17"/>
      <c r="Q75" s="17"/>
      <c r="R75" s="17"/>
      <c r="S75" s="17"/>
      <c r="T75" s="17"/>
      <c r="U75" s="17"/>
      <c r="V75" s="17"/>
      <c r="W75" s="17"/>
      <c r="X75" s="17"/>
      <c r="Y75" s="17"/>
      <c r="Z75" s="17"/>
      <c r="AA75" s="17"/>
    </row>
    <row r="76" spans="1:27" ht="14.25" customHeight="1">
      <c r="A76" s="25"/>
      <c r="B76" s="25"/>
      <c r="C76" s="25"/>
      <c r="D76" s="55"/>
      <c r="E76" s="17"/>
      <c r="F76" s="17"/>
      <c r="G76" s="17"/>
      <c r="H76" s="17"/>
      <c r="I76" s="17"/>
      <c r="J76" s="17"/>
      <c r="K76" s="17"/>
      <c r="L76" s="17"/>
      <c r="M76" s="17"/>
      <c r="N76" s="17"/>
      <c r="O76" s="17"/>
      <c r="P76" s="17"/>
      <c r="Q76" s="17"/>
      <c r="R76" s="17"/>
      <c r="S76" s="17"/>
      <c r="T76" s="17"/>
      <c r="U76" s="17"/>
      <c r="V76" s="17"/>
      <c r="W76" s="17"/>
      <c r="X76" s="17"/>
      <c r="Y76" s="17"/>
      <c r="Z76" s="17"/>
      <c r="AA76" s="17"/>
    </row>
    <row r="77" spans="1:27" ht="14.25" customHeight="1">
      <c r="A77" s="25"/>
      <c r="B77" s="25"/>
      <c r="C77" s="25"/>
      <c r="D77" s="55"/>
      <c r="E77" s="17"/>
      <c r="F77" s="17"/>
      <c r="G77" s="17"/>
      <c r="H77" s="17"/>
      <c r="I77" s="17"/>
      <c r="J77" s="17"/>
      <c r="K77" s="17"/>
      <c r="L77" s="17"/>
      <c r="M77" s="17"/>
      <c r="N77" s="17"/>
      <c r="O77" s="17"/>
      <c r="P77" s="17"/>
      <c r="Q77" s="17"/>
      <c r="R77" s="17"/>
      <c r="S77" s="17"/>
      <c r="T77" s="17"/>
      <c r="U77" s="17"/>
      <c r="V77" s="17"/>
      <c r="W77" s="17"/>
      <c r="X77" s="17"/>
      <c r="Y77" s="17"/>
      <c r="Z77" s="17"/>
      <c r="AA77" s="17"/>
    </row>
    <row r="78" spans="1:27" ht="14.25" customHeight="1">
      <c r="A78" s="25"/>
      <c r="B78" s="25"/>
      <c r="C78" s="25"/>
      <c r="D78" s="55"/>
      <c r="E78" s="17"/>
      <c r="F78" s="17"/>
      <c r="G78" s="17"/>
      <c r="H78" s="17"/>
      <c r="I78" s="17"/>
      <c r="J78" s="17"/>
      <c r="K78" s="17"/>
      <c r="L78" s="17"/>
      <c r="M78" s="17"/>
      <c r="N78" s="17"/>
      <c r="O78" s="17"/>
      <c r="P78" s="17"/>
      <c r="Q78" s="17"/>
      <c r="R78" s="17"/>
      <c r="S78" s="17"/>
      <c r="T78" s="17"/>
      <c r="U78" s="17"/>
      <c r="V78" s="17"/>
      <c r="W78" s="17"/>
      <c r="X78" s="17"/>
      <c r="Y78" s="17"/>
      <c r="Z78" s="17"/>
      <c r="AA78" s="17"/>
    </row>
    <row r="79" spans="1:27" ht="14.25" customHeight="1">
      <c r="A79" s="25"/>
      <c r="B79" s="25"/>
      <c r="C79" s="25"/>
      <c r="D79" s="55"/>
      <c r="E79" s="17"/>
      <c r="F79" s="17"/>
      <c r="G79" s="17"/>
      <c r="H79" s="17"/>
      <c r="I79" s="17"/>
      <c r="J79" s="17"/>
      <c r="K79" s="17"/>
      <c r="L79" s="17"/>
      <c r="M79" s="17"/>
      <c r="N79" s="17"/>
      <c r="O79" s="17"/>
      <c r="P79" s="17"/>
      <c r="Q79" s="17"/>
      <c r="R79" s="17"/>
      <c r="S79" s="17"/>
      <c r="T79" s="17"/>
      <c r="U79" s="17"/>
      <c r="V79" s="17"/>
      <c r="W79" s="17"/>
      <c r="X79" s="17"/>
      <c r="Y79" s="17"/>
      <c r="Z79" s="17"/>
      <c r="AA79" s="17"/>
    </row>
    <row r="80" spans="1:27" ht="14.25" customHeight="1">
      <c r="A80" s="25"/>
      <c r="B80" s="25"/>
      <c r="C80" s="25"/>
      <c r="D80" s="55"/>
      <c r="E80" s="17"/>
      <c r="F80" s="17"/>
      <c r="G80" s="17"/>
      <c r="H80" s="17"/>
      <c r="I80" s="17"/>
      <c r="J80" s="17"/>
      <c r="K80" s="17"/>
      <c r="L80" s="17"/>
      <c r="M80" s="17"/>
      <c r="N80" s="17"/>
      <c r="O80" s="17"/>
      <c r="P80" s="17"/>
      <c r="Q80" s="17"/>
      <c r="R80" s="17"/>
      <c r="S80" s="17"/>
      <c r="T80" s="17"/>
      <c r="U80" s="17"/>
      <c r="V80" s="17"/>
      <c r="W80" s="17"/>
      <c r="X80" s="17"/>
      <c r="Y80" s="17"/>
      <c r="Z80" s="17"/>
      <c r="AA80" s="17"/>
    </row>
    <row r="81" spans="1:27" ht="14.25" customHeight="1">
      <c r="A81" s="25"/>
      <c r="B81" s="25"/>
      <c r="C81" s="25"/>
      <c r="D81" s="55"/>
      <c r="E81" s="17"/>
      <c r="F81" s="17"/>
      <c r="G81" s="17"/>
      <c r="H81" s="17"/>
      <c r="I81" s="17"/>
      <c r="J81" s="17"/>
      <c r="K81" s="17"/>
      <c r="L81" s="17"/>
      <c r="M81" s="17"/>
      <c r="N81" s="17"/>
      <c r="O81" s="17"/>
      <c r="P81" s="17"/>
      <c r="Q81" s="17"/>
      <c r="R81" s="17"/>
      <c r="S81" s="17"/>
      <c r="T81" s="17"/>
      <c r="U81" s="17"/>
      <c r="V81" s="17"/>
      <c r="W81" s="17"/>
      <c r="X81" s="17"/>
      <c r="Y81" s="17"/>
      <c r="Z81" s="17"/>
      <c r="AA81" s="17"/>
    </row>
    <row r="82" spans="1:27" ht="14.25" customHeight="1">
      <c r="A82" s="25"/>
      <c r="B82" s="25"/>
      <c r="C82" s="25"/>
      <c r="D82" s="55"/>
      <c r="E82" s="17"/>
      <c r="F82" s="17"/>
      <c r="G82" s="17"/>
      <c r="H82" s="17"/>
      <c r="I82" s="17"/>
      <c r="J82" s="17"/>
      <c r="K82" s="17"/>
      <c r="L82" s="17"/>
      <c r="M82" s="17"/>
      <c r="N82" s="17"/>
      <c r="O82" s="17"/>
      <c r="P82" s="17"/>
      <c r="Q82" s="17"/>
      <c r="R82" s="17"/>
      <c r="S82" s="17"/>
      <c r="T82" s="17"/>
      <c r="U82" s="17"/>
      <c r="V82" s="17"/>
      <c r="W82" s="17"/>
      <c r="X82" s="17"/>
      <c r="Y82" s="17"/>
      <c r="Z82" s="17"/>
      <c r="AA82" s="17"/>
    </row>
    <row r="83" spans="1:27" ht="14.25" customHeight="1">
      <c r="A83" s="25"/>
      <c r="B83" s="25"/>
      <c r="C83" s="25"/>
      <c r="D83" s="55"/>
      <c r="E83" s="17"/>
      <c r="F83" s="17"/>
      <c r="G83" s="17"/>
      <c r="H83" s="17"/>
      <c r="I83" s="17"/>
      <c r="J83" s="17"/>
      <c r="K83" s="17"/>
      <c r="L83" s="17"/>
      <c r="M83" s="17"/>
      <c r="N83" s="17"/>
      <c r="O83" s="17"/>
      <c r="P83" s="17"/>
      <c r="Q83" s="17"/>
      <c r="R83" s="17"/>
      <c r="S83" s="17"/>
      <c r="T83" s="17"/>
      <c r="U83" s="17"/>
      <c r="V83" s="17"/>
      <c r="W83" s="17"/>
      <c r="X83" s="17"/>
      <c r="Y83" s="17"/>
      <c r="Z83" s="17"/>
      <c r="AA83" s="17"/>
    </row>
    <row r="84" spans="1:27" ht="14.25" customHeight="1">
      <c r="A84" s="25"/>
      <c r="B84" s="25"/>
      <c r="C84" s="25"/>
      <c r="D84" s="55"/>
      <c r="E84" s="17"/>
      <c r="F84" s="17"/>
      <c r="G84" s="17"/>
      <c r="H84" s="17"/>
      <c r="I84" s="17"/>
      <c r="J84" s="17"/>
      <c r="K84" s="17"/>
      <c r="L84" s="17"/>
      <c r="M84" s="17"/>
      <c r="N84" s="17"/>
      <c r="O84" s="17"/>
      <c r="P84" s="17"/>
      <c r="Q84" s="17"/>
      <c r="R84" s="17"/>
      <c r="S84" s="17"/>
      <c r="T84" s="17"/>
      <c r="U84" s="17"/>
      <c r="V84" s="17"/>
      <c r="W84" s="17"/>
      <c r="X84" s="17"/>
      <c r="Y84" s="17"/>
      <c r="Z84" s="17"/>
      <c r="AA84" s="17"/>
    </row>
    <row r="85" spans="1:27" ht="14.25" customHeight="1">
      <c r="A85" s="25"/>
      <c r="B85" s="25"/>
      <c r="C85" s="25"/>
      <c r="D85" s="55"/>
      <c r="E85" s="17"/>
      <c r="F85" s="17"/>
      <c r="G85" s="17"/>
      <c r="H85" s="17"/>
      <c r="I85" s="17"/>
      <c r="J85" s="17"/>
      <c r="K85" s="17"/>
      <c r="L85" s="17"/>
      <c r="M85" s="17"/>
      <c r="N85" s="17"/>
      <c r="O85" s="17"/>
      <c r="P85" s="17"/>
      <c r="Q85" s="17"/>
      <c r="R85" s="17"/>
      <c r="S85" s="17"/>
      <c r="T85" s="17"/>
      <c r="U85" s="17"/>
      <c r="V85" s="17"/>
      <c r="W85" s="17"/>
      <c r="X85" s="17"/>
      <c r="Y85" s="17"/>
      <c r="Z85" s="17"/>
      <c r="AA85" s="17"/>
    </row>
    <row r="86" spans="1:27" ht="14.25" customHeight="1">
      <c r="A86" s="25"/>
      <c r="B86" s="25"/>
      <c r="C86" s="25"/>
      <c r="D86" s="55"/>
      <c r="E86" s="17"/>
      <c r="F86" s="17"/>
      <c r="G86" s="17"/>
      <c r="H86" s="17"/>
      <c r="I86" s="17"/>
      <c r="J86" s="17"/>
      <c r="K86" s="17"/>
      <c r="L86" s="17"/>
      <c r="M86" s="17"/>
      <c r="N86" s="17"/>
      <c r="O86" s="17"/>
      <c r="P86" s="17"/>
      <c r="Q86" s="17"/>
      <c r="R86" s="17"/>
      <c r="S86" s="17"/>
      <c r="T86" s="17"/>
      <c r="U86" s="17"/>
      <c r="V86" s="17"/>
      <c r="W86" s="17"/>
      <c r="X86" s="17"/>
      <c r="Y86" s="17"/>
      <c r="Z86" s="17"/>
      <c r="AA86" s="17"/>
    </row>
    <row r="87" spans="1:27" ht="14.25" customHeight="1">
      <c r="A87" s="25"/>
      <c r="B87" s="25"/>
      <c r="C87" s="25"/>
      <c r="D87" s="55"/>
      <c r="E87" s="17"/>
      <c r="F87" s="17"/>
      <c r="G87" s="17"/>
      <c r="H87" s="17"/>
      <c r="I87" s="17"/>
      <c r="J87" s="17"/>
      <c r="K87" s="17"/>
      <c r="L87" s="17"/>
      <c r="M87" s="17"/>
      <c r="N87" s="17"/>
      <c r="O87" s="17"/>
      <c r="P87" s="17"/>
      <c r="Q87" s="17"/>
      <c r="R87" s="17"/>
      <c r="S87" s="17"/>
      <c r="T87" s="17"/>
      <c r="U87" s="17"/>
      <c r="V87" s="17"/>
      <c r="W87" s="17"/>
      <c r="X87" s="17"/>
      <c r="Y87" s="17"/>
      <c r="Z87" s="17"/>
      <c r="AA87" s="17"/>
    </row>
    <row r="88" spans="1:27" ht="14.25" customHeight="1">
      <c r="A88" s="25"/>
      <c r="B88" s="25"/>
      <c r="C88" s="25"/>
      <c r="D88" s="55"/>
      <c r="E88" s="17"/>
      <c r="F88" s="17"/>
      <c r="G88" s="17"/>
      <c r="H88" s="17"/>
      <c r="I88" s="17"/>
      <c r="J88" s="17"/>
      <c r="K88" s="17"/>
      <c r="L88" s="17"/>
      <c r="M88" s="17"/>
      <c r="N88" s="17"/>
      <c r="O88" s="17"/>
      <c r="P88" s="17"/>
      <c r="Q88" s="17"/>
      <c r="R88" s="17"/>
      <c r="S88" s="17"/>
      <c r="T88" s="17"/>
      <c r="U88" s="17"/>
      <c r="V88" s="17"/>
      <c r="W88" s="17"/>
      <c r="X88" s="17"/>
      <c r="Y88" s="17"/>
      <c r="Z88" s="17"/>
      <c r="AA88" s="17"/>
    </row>
    <row r="89" spans="1:27" ht="14.25" customHeight="1">
      <c r="A89" s="25"/>
      <c r="B89" s="25"/>
      <c r="C89" s="25"/>
      <c r="D89" s="55"/>
      <c r="E89" s="17"/>
      <c r="F89" s="17"/>
      <c r="G89" s="17"/>
      <c r="H89" s="17"/>
      <c r="I89" s="17"/>
      <c r="J89" s="17"/>
      <c r="K89" s="17"/>
      <c r="L89" s="17"/>
      <c r="M89" s="17"/>
      <c r="N89" s="17"/>
      <c r="O89" s="17"/>
      <c r="P89" s="17"/>
      <c r="Q89" s="17"/>
      <c r="R89" s="17"/>
      <c r="S89" s="17"/>
      <c r="T89" s="17"/>
      <c r="U89" s="17"/>
      <c r="V89" s="17"/>
      <c r="W89" s="17"/>
      <c r="X89" s="17"/>
      <c r="Y89" s="17"/>
      <c r="Z89" s="17"/>
      <c r="AA89" s="17"/>
    </row>
    <row r="90" spans="1:27" ht="14.25" customHeight="1">
      <c r="A90" s="25"/>
      <c r="B90" s="25"/>
      <c r="C90" s="25"/>
      <c r="D90" s="55"/>
      <c r="E90" s="17"/>
      <c r="F90" s="17"/>
      <c r="G90" s="17"/>
      <c r="H90" s="17"/>
      <c r="I90" s="17"/>
      <c r="J90" s="17"/>
      <c r="K90" s="17"/>
      <c r="L90" s="17"/>
      <c r="M90" s="17"/>
      <c r="N90" s="17"/>
      <c r="O90" s="17"/>
      <c r="P90" s="17"/>
      <c r="Q90" s="17"/>
      <c r="R90" s="17"/>
      <c r="S90" s="17"/>
      <c r="T90" s="17"/>
      <c r="U90" s="17"/>
      <c r="V90" s="17"/>
      <c r="W90" s="17"/>
      <c r="X90" s="17"/>
      <c r="Y90" s="17"/>
      <c r="Z90" s="17"/>
      <c r="AA90" s="17"/>
    </row>
    <row r="91" spans="1:27" ht="14.25" customHeight="1">
      <c r="A91" s="25"/>
      <c r="B91" s="25"/>
      <c r="C91" s="25"/>
      <c r="D91" s="55"/>
      <c r="E91" s="17"/>
      <c r="F91" s="17"/>
      <c r="G91" s="17"/>
      <c r="H91" s="17"/>
      <c r="I91" s="17"/>
      <c r="J91" s="17"/>
      <c r="K91" s="17"/>
      <c r="L91" s="17"/>
      <c r="M91" s="17"/>
      <c r="N91" s="17"/>
      <c r="O91" s="17"/>
      <c r="P91" s="17"/>
      <c r="Q91" s="17"/>
      <c r="R91" s="17"/>
      <c r="S91" s="17"/>
      <c r="T91" s="17"/>
      <c r="U91" s="17"/>
      <c r="V91" s="17"/>
      <c r="W91" s="17"/>
      <c r="X91" s="17"/>
      <c r="Y91" s="17"/>
      <c r="Z91" s="17"/>
      <c r="AA91" s="17"/>
    </row>
    <row r="92" spans="1:27" ht="14.25" customHeight="1">
      <c r="A92" s="25"/>
      <c r="B92" s="25"/>
      <c r="C92" s="25"/>
      <c r="D92" s="55"/>
      <c r="E92" s="17"/>
      <c r="F92" s="17"/>
      <c r="G92" s="17"/>
      <c r="H92" s="17"/>
      <c r="I92" s="17"/>
      <c r="J92" s="17"/>
      <c r="K92" s="17"/>
      <c r="L92" s="17"/>
      <c r="M92" s="17"/>
      <c r="N92" s="17"/>
      <c r="O92" s="17"/>
      <c r="P92" s="17"/>
      <c r="Q92" s="17"/>
      <c r="R92" s="17"/>
      <c r="S92" s="17"/>
      <c r="T92" s="17"/>
      <c r="U92" s="17"/>
      <c r="V92" s="17"/>
      <c r="W92" s="17"/>
      <c r="X92" s="17"/>
      <c r="Y92" s="17"/>
      <c r="Z92" s="17"/>
      <c r="AA92" s="17"/>
    </row>
    <row r="93" spans="1:27" ht="14.25" customHeight="1">
      <c r="A93" s="25"/>
      <c r="B93" s="25"/>
      <c r="C93" s="25"/>
      <c r="D93" s="55"/>
      <c r="E93" s="17"/>
      <c r="F93" s="17"/>
      <c r="G93" s="17"/>
      <c r="H93" s="17"/>
      <c r="I93" s="17"/>
      <c r="J93" s="17"/>
      <c r="K93" s="17"/>
      <c r="L93" s="17"/>
      <c r="M93" s="17"/>
      <c r="N93" s="17"/>
      <c r="O93" s="17"/>
      <c r="P93" s="17"/>
      <c r="Q93" s="17"/>
      <c r="R93" s="17"/>
      <c r="S93" s="17"/>
      <c r="T93" s="17"/>
      <c r="U93" s="17"/>
      <c r="V93" s="17"/>
      <c r="W93" s="17"/>
      <c r="X93" s="17"/>
      <c r="Y93" s="17"/>
      <c r="Z93" s="17"/>
      <c r="AA93" s="17"/>
    </row>
    <row r="94" spans="1:27" ht="14.25" customHeight="1">
      <c r="A94" s="25"/>
      <c r="B94" s="25"/>
      <c r="C94" s="25"/>
      <c r="D94" s="55"/>
      <c r="E94" s="17"/>
      <c r="F94" s="17"/>
      <c r="G94" s="17"/>
      <c r="H94" s="17"/>
      <c r="I94" s="17"/>
      <c r="J94" s="17"/>
      <c r="K94" s="17"/>
      <c r="L94" s="17"/>
      <c r="M94" s="17"/>
      <c r="N94" s="17"/>
      <c r="O94" s="17"/>
      <c r="P94" s="17"/>
      <c r="Q94" s="17"/>
      <c r="R94" s="17"/>
      <c r="S94" s="17"/>
      <c r="T94" s="17"/>
      <c r="U94" s="17"/>
      <c r="V94" s="17"/>
      <c r="W94" s="17"/>
      <c r="X94" s="17"/>
      <c r="Y94" s="17"/>
      <c r="Z94" s="17"/>
      <c r="AA94" s="17"/>
    </row>
    <row r="95" spans="1:27" ht="14.25" customHeight="1">
      <c r="A95" s="25"/>
      <c r="B95" s="25"/>
      <c r="C95" s="25"/>
      <c r="D95" s="55"/>
      <c r="E95" s="17"/>
      <c r="F95" s="17"/>
      <c r="G95" s="17"/>
      <c r="H95" s="17"/>
      <c r="I95" s="17"/>
      <c r="J95" s="17"/>
      <c r="K95" s="17"/>
      <c r="L95" s="17"/>
      <c r="M95" s="17"/>
      <c r="N95" s="17"/>
      <c r="O95" s="17"/>
      <c r="P95" s="17"/>
      <c r="Q95" s="17"/>
      <c r="R95" s="17"/>
      <c r="S95" s="17"/>
      <c r="T95" s="17"/>
      <c r="U95" s="17"/>
      <c r="V95" s="17"/>
      <c r="W95" s="17"/>
      <c r="X95" s="17"/>
      <c r="Y95" s="17"/>
      <c r="Z95" s="17"/>
      <c r="AA95" s="17"/>
    </row>
    <row r="96" spans="1:27" ht="14.25" customHeight="1">
      <c r="A96" s="25"/>
      <c r="B96" s="25"/>
      <c r="C96" s="25"/>
      <c r="D96" s="55"/>
      <c r="E96" s="17"/>
      <c r="F96" s="17"/>
      <c r="G96" s="17"/>
      <c r="H96" s="17"/>
      <c r="I96" s="17"/>
      <c r="J96" s="17"/>
      <c r="K96" s="17"/>
      <c r="L96" s="17"/>
      <c r="M96" s="17"/>
      <c r="N96" s="17"/>
      <c r="O96" s="17"/>
      <c r="P96" s="17"/>
      <c r="Q96" s="17"/>
      <c r="R96" s="17"/>
      <c r="S96" s="17"/>
      <c r="T96" s="17"/>
      <c r="U96" s="17"/>
      <c r="V96" s="17"/>
      <c r="W96" s="17"/>
      <c r="X96" s="17"/>
      <c r="Y96" s="17"/>
      <c r="Z96" s="17"/>
      <c r="AA96" s="17"/>
    </row>
    <row r="97" spans="1:27" ht="14.25" customHeight="1">
      <c r="A97" s="25"/>
      <c r="B97" s="25"/>
      <c r="C97" s="25"/>
      <c r="D97" s="55"/>
      <c r="E97" s="17"/>
      <c r="F97" s="17"/>
      <c r="G97" s="17"/>
      <c r="H97" s="17"/>
      <c r="I97" s="17"/>
      <c r="J97" s="17"/>
      <c r="K97" s="17"/>
      <c r="L97" s="17"/>
      <c r="M97" s="17"/>
      <c r="N97" s="17"/>
      <c r="O97" s="17"/>
      <c r="P97" s="17"/>
      <c r="Q97" s="17"/>
      <c r="R97" s="17"/>
      <c r="S97" s="17"/>
      <c r="T97" s="17"/>
      <c r="U97" s="17"/>
      <c r="V97" s="17"/>
      <c r="W97" s="17"/>
      <c r="X97" s="17"/>
      <c r="Y97" s="17"/>
      <c r="Z97" s="17"/>
      <c r="AA97" s="17"/>
    </row>
    <row r="98" spans="1:27" ht="14.25" customHeight="1">
      <c r="A98" s="25"/>
      <c r="B98" s="25"/>
      <c r="C98" s="25"/>
      <c r="D98" s="55"/>
      <c r="E98" s="17"/>
      <c r="F98" s="17"/>
      <c r="G98" s="17"/>
      <c r="H98" s="17"/>
      <c r="I98" s="17"/>
      <c r="J98" s="17"/>
      <c r="K98" s="17"/>
      <c r="L98" s="17"/>
      <c r="M98" s="17"/>
      <c r="N98" s="17"/>
      <c r="O98" s="17"/>
      <c r="P98" s="17"/>
      <c r="Q98" s="17"/>
      <c r="R98" s="17"/>
      <c r="S98" s="17"/>
      <c r="T98" s="17"/>
      <c r="U98" s="17"/>
      <c r="V98" s="17"/>
      <c r="W98" s="17"/>
      <c r="X98" s="17"/>
      <c r="Y98" s="17"/>
      <c r="Z98" s="17"/>
      <c r="AA98" s="17"/>
    </row>
    <row r="99" spans="1:27" ht="14.25" customHeight="1">
      <c r="A99" s="25"/>
      <c r="B99" s="25"/>
      <c r="C99" s="25"/>
      <c r="D99" s="55"/>
      <c r="E99" s="17"/>
      <c r="F99" s="17"/>
      <c r="G99" s="17"/>
      <c r="H99" s="17"/>
      <c r="I99" s="17"/>
      <c r="J99" s="17"/>
      <c r="K99" s="17"/>
      <c r="L99" s="17"/>
      <c r="M99" s="17"/>
      <c r="N99" s="17"/>
      <c r="O99" s="17"/>
      <c r="P99" s="17"/>
      <c r="Q99" s="17"/>
      <c r="R99" s="17"/>
      <c r="S99" s="17"/>
      <c r="T99" s="17"/>
      <c r="U99" s="17"/>
      <c r="V99" s="17"/>
      <c r="W99" s="17"/>
      <c r="X99" s="17"/>
      <c r="Y99" s="17"/>
      <c r="Z99" s="17"/>
      <c r="AA99" s="17"/>
    </row>
    <row r="100" spans="1:27" ht="14.25" customHeight="1">
      <c r="A100" s="25"/>
      <c r="B100" s="25"/>
      <c r="C100" s="25"/>
      <c r="D100" s="55"/>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spans="1:27" ht="14.25" customHeight="1">
      <c r="A101" s="25"/>
      <c r="B101" s="25"/>
      <c r="C101" s="25"/>
      <c r="D101" s="55"/>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spans="1:27" ht="14.25" customHeight="1">
      <c r="A102" s="25"/>
      <c r="B102" s="25"/>
      <c r="C102" s="25"/>
      <c r="D102" s="55"/>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spans="1:27" ht="14.25" customHeight="1">
      <c r="A103" s="25"/>
      <c r="B103" s="25"/>
      <c r="C103" s="25"/>
      <c r="D103" s="55"/>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spans="1:27" ht="14.25" customHeight="1">
      <c r="A104" s="25"/>
      <c r="B104" s="25"/>
      <c r="C104" s="25"/>
      <c r="D104" s="55"/>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spans="1:27" ht="14.25" customHeight="1">
      <c r="A105" s="25"/>
      <c r="B105" s="25"/>
      <c r="C105" s="25"/>
      <c r="D105" s="55"/>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spans="1:27" ht="14.25" customHeight="1">
      <c r="A106" s="25"/>
      <c r="B106" s="25"/>
      <c r="C106" s="25"/>
      <c r="D106" s="55"/>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spans="1:27" ht="14.25" customHeight="1">
      <c r="A107" s="25"/>
      <c r="B107" s="25"/>
      <c r="C107" s="25"/>
      <c r="D107" s="55"/>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spans="1:27" ht="14.25" customHeight="1">
      <c r="A108" s="25"/>
      <c r="B108" s="25"/>
      <c r="C108" s="25"/>
      <c r="D108" s="55"/>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spans="1:27" ht="14.25" customHeight="1">
      <c r="A109" s="25"/>
      <c r="B109" s="25"/>
      <c r="C109" s="25"/>
      <c r="D109" s="55"/>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spans="1:27" ht="14.25" customHeight="1">
      <c r="A110" s="25"/>
      <c r="B110" s="25"/>
      <c r="C110" s="25"/>
      <c r="D110" s="55"/>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spans="1:27" ht="14.25" customHeight="1">
      <c r="A111" s="25"/>
      <c r="B111" s="25"/>
      <c r="C111" s="25"/>
      <c r="D111" s="55"/>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spans="1:27" ht="14.25" customHeight="1">
      <c r="A112" s="25"/>
      <c r="B112" s="25"/>
      <c r="C112" s="25"/>
      <c r="D112" s="55"/>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spans="1:27" ht="14.25" customHeight="1">
      <c r="A113" s="25"/>
      <c r="B113" s="25"/>
      <c r="C113" s="25"/>
      <c r="D113" s="55"/>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spans="1:27" ht="14.25" customHeight="1">
      <c r="A114" s="25"/>
      <c r="B114" s="25"/>
      <c r="C114" s="25"/>
      <c r="D114" s="55"/>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spans="1:27" ht="14.25" customHeight="1">
      <c r="A115" s="25"/>
      <c r="B115" s="25"/>
      <c r="C115" s="25"/>
      <c r="D115" s="55"/>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spans="1:27" ht="14.25" customHeight="1">
      <c r="A116" s="25"/>
      <c r="B116" s="25"/>
      <c r="C116" s="25"/>
      <c r="D116" s="55"/>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spans="1:27" ht="14.25" customHeight="1">
      <c r="A117" s="25"/>
      <c r="B117" s="25"/>
      <c r="C117" s="25"/>
      <c r="D117" s="55"/>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spans="1:27" ht="14.25" customHeight="1">
      <c r="A118" s="25"/>
      <c r="B118" s="25"/>
      <c r="C118" s="25"/>
      <c r="D118" s="55"/>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spans="1:27" ht="14.25" customHeight="1">
      <c r="A119" s="25"/>
      <c r="B119" s="25"/>
      <c r="C119" s="25"/>
      <c r="D119" s="55"/>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spans="1:27" ht="14.25" customHeight="1">
      <c r="A120" s="25"/>
      <c r="B120" s="25"/>
      <c r="C120" s="25"/>
      <c r="D120" s="55"/>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spans="1:27" ht="14.25" customHeight="1">
      <c r="A121" s="25"/>
      <c r="B121" s="25"/>
      <c r="C121" s="25"/>
      <c r="D121" s="55"/>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spans="1:27" ht="14.25" customHeight="1">
      <c r="A122" s="25"/>
      <c r="B122" s="25"/>
      <c r="C122" s="25"/>
      <c r="D122" s="55"/>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spans="1:27" ht="14.25" customHeight="1">
      <c r="A123" s="25"/>
      <c r="B123" s="25"/>
      <c r="C123" s="25"/>
      <c r="D123" s="55"/>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spans="1:27" ht="14.25" customHeight="1">
      <c r="A124" s="25"/>
      <c r="B124" s="25"/>
      <c r="C124" s="25"/>
      <c r="D124" s="55"/>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spans="1:27" ht="14.25" customHeight="1">
      <c r="A125" s="25"/>
      <c r="B125" s="25"/>
      <c r="C125" s="25"/>
      <c r="D125" s="55"/>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spans="1:27" ht="14.25" customHeight="1">
      <c r="A126" s="25"/>
      <c r="B126" s="25"/>
      <c r="C126" s="25"/>
      <c r="D126" s="55"/>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spans="1:27" ht="14.25" customHeight="1">
      <c r="A127" s="25"/>
      <c r="B127" s="25"/>
      <c r="C127" s="25"/>
      <c r="D127" s="55"/>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spans="1:27" ht="14.25" customHeight="1">
      <c r="A128" s="25"/>
      <c r="B128" s="25"/>
      <c r="C128" s="25"/>
      <c r="D128" s="55"/>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spans="1:27" ht="14.25" customHeight="1">
      <c r="A129" s="25"/>
      <c r="B129" s="25"/>
      <c r="C129" s="25"/>
      <c r="D129" s="55"/>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spans="1:27" ht="14.25" customHeight="1">
      <c r="A130" s="25"/>
      <c r="B130" s="25"/>
      <c r="C130" s="25"/>
      <c r="D130" s="55"/>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spans="1:27" ht="14.25" customHeight="1">
      <c r="A131" s="25"/>
      <c r="B131" s="25"/>
      <c r="C131" s="25"/>
      <c r="D131" s="55"/>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spans="1:27" ht="14.25" customHeight="1">
      <c r="A132" s="25"/>
      <c r="B132" s="25"/>
      <c r="C132" s="25"/>
      <c r="D132" s="55"/>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spans="1:27" ht="14.25" customHeight="1">
      <c r="A133" s="25"/>
      <c r="B133" s="25"/>
      <c r="C133" s="25"/>
      <c r="D133" s="55"/>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spans="1:27" ht="14.25" customHeight="1">
      <c r="A134" s="25"/>
      <c r="B134" s="25"/>
      <c r="C134" s="25"/>
      <c r="D134" s="55"/>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spans="1:27" ht="14.25" customHeight="1">
      <c r="A135" s="25"/>
      <c r="B135" s="25"/>
      <c r="C135" s="25"/>
      <c r="D135" s="55"/>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spans="1:27" ht="14.25" customHeight="1">
      <c r="A136" s="25"/>
      <c r="B136" s="25"/>
      <c r="C136" s="25"/>
      <c r="D136" s="55"/>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spans="1:27" ht="14.25" customHeight="1">
      <c r="A137" s="25"/>
      <c r="B137" s="25"/>
      <c r="C137" s="25"/>
      <c r="D137" s="55"/>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spans="1:27" ht="14.25" customHeight="1">
      <c r="A138" s="25"/>
      <c r="B138" s="25"/>
      <c r="C138" s="25"/>
      <c r="D138" s="55"/>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spans="1:27" ht="14.25" customHeight="1">
      <c r="A139" s="25"/>
      <c r="B139" s="25"/>
      <c r="C139" s="25"/>
      <c r="D139" s="55"/>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spans="1:27" ht="14.25" customHeight="1">
      <c r="A140" s="25"/>
      <c r="B140" s="25"/>
      <c r="C140" s="25"/>
      <c r="D140" s="55"/>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spans="1:27" ht="14.25" customHeight="1">
      <c r="A141" s="25"/>
      <c r="B141" s="25"/>
      <c r="C141" s="25"/>
      <c r="D141" s="55"/>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spans="1:27" ht="14.25" customHeight="1">
      <c r="A142" s="25"/>
      <c r="B142" s="25"/>
      <c r="C142" s="25"/>
      <c r="D142" s="55"/>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spans="1:27" ht="14.25" customHeight="1">
      <c r="A143" s="25"/>
      <c r="B143" s="25"/>
      <c r="C143" s="25"/>
      <c r="D143" s="55"/>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spans="1:27" ht="14.25" customHeight="1">
      <c r="A144" s="25"/>
      <c r="B144" s="25"/>
      <c r="C144" s="25"/>
      <c r="D144" s="55"/>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spans="1:27" ht="14.25" customHeight="1">
      <c r="A145" s="25"/>
      <c r="B145" s="25"/>
      <c r="C145" s="25"/>
      <c r="D145" s="55"/>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spans="1:27" ht="14.25" customHeight="1">
      <c r="A146" s="25"/>
      <c r="B146" s="25"/>
      <c r="C146" s="25"/>
      <c r="D146" s="55"/>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spans="1:27" ht="14.25" customHeight="1">
      <c r="A147" s="25"/>
      <c r="B147" s="25"/>
      <c r="C147" s="25"/>
      <c r="D147" s="55"/>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spans="1:27" ht="14.25" customHeight="1">
      <c r="A148" s="25"/>
      <c r="B148" s="25"/>
      <c r="C148" s="25"/>
      <c r="D148" s="55"/>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spans="1:27" ht="14.25" customHeight="1">
      <c r="A149" s="25"/>
      <c r="B149" s="25"/>
      <c r="C149" s="25"/>
      <c r="D149" s="55"/>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spans="1:27" ht="14.25" customHeight="1">
      <c r="A150" s="25"/>
      <c r="B150" s="25"/>
      <c r="C150" s="25"/>
      <c r="D150" s="55"/>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spans="1:27" ht="14.25" customHeight="1">
      <c r="A151" s="25"/>
      <c r="B151" s="25"/>
      <c r="C151" s="25"/>
      <c r="D151" s="55"/>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spans="1:27" ht="14.25" customHeight="1">
      <c r="A152" s="25"/>
      <c r="B152" s="25"/>
      <c r="C152" s="25"/>
      <c r="D152" s="55"/>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spans="1:27" ht="14.25" customHeight="1">
      <c r="A153" s="25"/>
      <c r="B153" s="25"/>
      <c r="C153" s="25"/>
      <c r="D153" s="55"/>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spans="1:27" ht="14.25" customHeight="1">
      <c r="A154" s="25"/>
      <c r="B154" s="25"/>
      <c r="C154" s="25"/>
      <c r="D154" s="55"/>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spans="1:27" ht="14.25" customHeight="1">
      <c r="A155" s="25"/>
      <c r="B155" s="25"/>
      <c r="C155" s="25"/>
      <c r="D155" s="55"/>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spans="1:27" ht="14.25" customHeight="1">
      <c r="A156" s="25"/>
      <c r="B156" s="25"/>
      <c r="C156" s="25"/>
      <c r="D156" s="55"/>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spans="1:27" ht="14.25" customHeight="1">
      <c r="A157" s="25"/>
      <c r="B157" s="25"/>
      <c r="C157" s="25"/>
      <c r="D157" s="55"/>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spans="1:27" ht="14.25" customHeight="1">
      <c r="A158" s="25"/>
      <c r="B158" s="25"/>
      <c r="C158" s="25"/>
      <c r="D158" s="55"/>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spans="1:27" ht="14.25" customHeight="1">
      <c r="A159" s="25"/>
      <c r="B159" s="25"/>
      <c r="C159" s="25"/>
      <c r="D159" s="55"/>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spans="1:27" ht="14.25" customHeight="1">
      <c r="A160" s="25"/>
      <c r="B160" s="25"/>
      <c r="C160" s="25"/>
      <c r="D160" s="55"/>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spans="1:27" ht="14.25" customHeight="1">
      <c r="A161" s="25"/>
      <c r="B161" s="25"/>
      <c r="C161" s="25"/>
      <c r="D161" s="55"/>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spans="1:27" ht="14.25" customHeight="1">
      <c r="A162" s="25"/>
      <c r="B162" s="25"/>
      <c r="C162" s="25"/>
      <c r="D162" s="55"/>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spans="1:27" ht="14.25" customHeight="1">
      <c r="A163" s="25"/>
      <c r="B163" s="25"/>
      <c r="C163" s="25"/>
      <c r="D163" s="55"/>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spans="1:27" ht="14.25" customHeight="1">
      <c r="A164" s="25"/>
      <c r="B164" s="25"/>
      <c r="C164" s="25"/>
      <c r="D164" s="55"/>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spans="1:27" ht="14.25" customHeight="1">
      <c r="A165" s="25"/>
      <c r="B165" s="25"/>
      <c r="C165" s="25"/>
      <c r="D165" s="55"/>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spans="1:27" ht="14.25" customHeight="1">
      <c r="A166" s="25"/>
      <c r="B166" s="25"/>
      <c r="C166" s="25"/>
      <c r="D166" s="55"/>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spans="1:27" ht="14.25" customHeight="1">
      <c r="A167" s="25"/>
      <c r="B167" s="25"/>
      <c r="C167" s="25"/>
      <c r="D167" s="55"/>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spans="1:27" ht="14.25" customHeight="1">
      <c r="A168" s="25"/>
      <c r="B168" s="25"/>
      <c r="C168" s="25"/>
      <c r="D168" s="55"/>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spans="1:27" ht="14.25" customHeight="1">
      <c r="A169" s="25"/>
      <c r="B169" s="25"/>
      <c r="C169" s="25"/>
      <c r="D169" s="55"/>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spans="1:27" ht="14.25" customHeight="1">
      <c r="A170" s="25"/>
      <c r="B170" s="25"/>
      <c r="C170" s="25"/>
      <c r="D170" s="55"/>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spans="1:27" ht="14.25" customHeight="1">
      <c r="A171" s="25"/>
      <c r="B171" s="25"/>
      <c r="C171" s="25"/>
      <c r="D171" s="55"/>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spans="1:27" ht="14.25" customHeight="1">
      <c r="A172" s="25"/>
      <c r="B172" s="25"/>
      <c r="C172" s="25"/>
      <c r="D172" s="55"/>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spans="1:27" ht="14.25" customHeight="1">
      <c r="A173" s="25"/>
      <c r="B173" s="25"/>
      <c r="C173" s="25"/>
      <c r="D173" s="55"/>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spans="1:27" ht="14.25" customHeight="1">
      <c r="A174" s="25"/>
      <c r="B174" s="25"/>
      <c r="C174" s="25"/>
      <c r="D174" s="55"/>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spans="1:27" ht="14.25" customHeight="1">
      <c r="A175" s="25"/>
      <c r="B175" s="25"/>
      <c r="C175" s="25"/>
      <c r="D175" s="55"/>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spans="1:27" ht="14.25" customHeight="1">
      <c r="A176" s="25"/>
      <c r="B176" s="25"/>
      <c r="C176" s="25"/>
      <c r="D176" s="55"/>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spans="1:27" ht="14.25" customHeight="1">
      <c r="A177" s="25"/>
      <c r="B177" s="25"/>
      <c r="C177" s="25"/>
      <c r="D177" s="55"/>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spans="1:27" ht="14.25" customHeight="1">
      <c r="A178" s="25"/>
      <c r="B178" s="25"/>
      <c r="C178" s="25"/>
      <c r="D178" s="55"/>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spans="1:27" ht="14.25" customHeight="1">
      <c r="A179" s="25"/>
      <c r="B179" s="25"/>
      <c r="C179" s="25"/>
      <c r="D179" s="55"/>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spans="1:27" ht="14.25" customHeight="1">
      <c r="A180" s="25"/>
      <c r="B180" s="25"/>
      <c r="C180" s="25"/>
      <c r="D180" s="55"/>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spans="1:27" ht="14.25" customHeight="1">
      <c r="A181" s="25"/>
      <c r="B181" s="25"/>
      <c r="C181" s="25"/>
      <c r="D181" s="55"/>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spans="1:27" ht="14.25" customHeight="1">
      <c r="A182" s="25"/>
      <c r="B182" s="25"/>
      <c r="C182" s="25"/>
      <c r="D182" s="55"/>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spans="1:27" ht="14.25" customHeight="1">
      <c r="A183" s="25"/>
      <c r="B183" s="25"/>
      <c r="C183" s="25"/>
      <c r="D183" s="55"/>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spans="1:27" ht="14.25" customHeight="1">
      <c r="A184" s="25"/>
      <c r="B184" s="25"/>
      <c r="C184" s="25"/>
      <c r="D184" s="55"/>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spans="1:27" ht="14.25" customHeight="1">
      <c r="A185" s="25"/>
      <c r="B185" s="25"/>
      <c r="C185" s="25"/>
      <c r="D185" s="55"/>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spans="1:27" ht="14.25" customHeight="1">
      <c r="A186" s="25"/>
      <c r="B186" s="25"/>
      <c r="C186" s="25"/>
      <c r="D186" s="55"/>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spans="1:27" ht="14.25" customHeight="1">
      <c r="A187" s="25"/>
      <c r="B187" s="25"/>
      <c r="C187" s="25"/>
      <c r="D187" s="55"/>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spans="1:27" ht="14.25" customHeight="1">
      <c r="A188" s="25"/>
      <c r="B188" s="25"/>
      <c r="C188" s="25"/>
      <c r="D188" s="55"/>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spans="1:27" ht="14.25" customHeight="1">
      <c r="A189" s="25"/>
      <c r="B189" s="25"/>
      <c r="C189" s="25"/>
      <c r="D189" s="55"/>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spans="1:27" ht="14.25" customHeight="1">
      <c r="A190" s="25"/>
      <c r="B190" s="25"/>
      <c r="C190" s="25"/>
      <c r="D190" s="55"/>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spans="1:27" ht="14.25" customHeight="1">
      <c r="A191" s="25"/>
      <c r="B191" s="25"/>
      <c r="C191" s="25"/>
      <c r="D191" s="55"/>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spans="1:27" ht="14.25" customHeight="1">
      <c r="A192" s="25"/>
      <c r="B192" s="25"/>
      <c r="C192" s="25"/>
      <c r="D192" s="55"/>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spans="1:27" ht="14.25" customHeight="1">
      <c r="A193" s="25"/>
      <c r="B193" s="25"/>
      <c r="C193" s="25"/>
      <c r="D193" s="55"/>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spans="1:27" ht="14.25" customHeight="1">
      <c r="A194" s="25"/>
      <c r="B194" s="25"/>
      <c r="C194" s="25"/>
      <c r="D194" s="55"/>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spans="1:27" ht="14.25" customHeight="1">
      <c r="A195" s="25"/>
      <c r="B195" s="25"/>
      <c r="C195" s="25"/>
      <c r="D195" s="55"/>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spans="1:27" ht="14.25" customHeight="1">
      <c r="A196" s="25"/>
      <c r="B196" s="25"/>
      <c r="C196" s="25"/>
      <c r="D196" s="55"/>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spans="1:27" ht="14.25" customHeight="1">
      <c r="A197" s="25"/>
      <c r="B197" s="25"/>
      <c r="C197" s="25"/>
      <c r="D197" s="55"/>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spans="1:27" ht="14.25" customHeight="1">
      <c r="A198" s="25"/>
      <c r="B198" s="25"/>
      <c r="C198" s="25"/>
      <c r="D198" s="55"/>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spans="1:27" ht="14.25" customHeight="1">
      <c r="A199" s="25"/>
      <c r="B199" s="25"/>
      <c r="C199" s="25"/>
      <c r="D199" s="55"/>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spans="1:27" ht="14.25" customHeight="1">
      <c r="A200" s="25"/>
      <c r="B200" s="25"/>
      <c r="C200" s="25"/>
      <c r="D200" s="55"/>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spans="1:27" ht="14.25" customHeight="1">
      <c r="A201" s="25"/>
      <c r="B201" s="25"/>
      <c r="C201" s="25"/>
      <c r="D201" s="55"/>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spans="1:27" ht="14.25" customHeight="1">
      <c r="A202" s="25"/>
      <c r="B202" s="25"/>
      <c r="C202" s="25"/>
      <c r="D202" s="55"/>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spans="1:27" ht="14.25" customHeight="1">
      <c r="A203" s="25"/>
      <c r="B203" s="25"/>
      <c r="C203" s="25"/>
      <c r="D203" s="55"/>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spans="1:27" ht="14.25" customHeight="1">
      <c r="A204" s="25"/>
      <c r="B204" s="25"/>
      <c r="C204" s="25"/>
      <c r="D204" s="55"/>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spans="1:27" ht="14.25" customHeight="1">
      <c r="A205" s="25"/>
      <c r="B205" s="25"/>
      <c r="C205" s="25"/>
      <c r="D205" s="55"/>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spans="1:27" ht="14.25" customHeight="1">
      <c r="A206" s="25"/>
      <c r="B206" s="25"/>
      <c r="C206" s="25"/>
      <c r="D206" s="55"/>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spans="1:27" ht="14.25" customHeight="1">
      <c r="A207" s="25"/>
      <c r="B207" s="25"/>
      <c r="C207" s="25"/>
      <c r="D207" s="55"/>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spans="1:27" ht="14.25" customHeight="1">
      <c r="A208" s="25"/>
      <c r="B208" s="25"/>
      <c r="C208" s="25"/>
      <c r="D208" s="55"/>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spans="1:27" ht="14.25" customHeight="1">
      <c r="A209" s="25"/>
      <c r="B209" s="25"/>
      <c r="C209" s="25"/>
      <c r="D209" s="55"/>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spans="1:27" ht="14.25" customHeight="1">
      <c r="A210" s="25"/>
      <c r="B210" s="25"/>
      <c r="C210" s="25"/>
      <c r="D210" s="55"/>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spans="1:27" ht="14.25" customHeight="1">
      <c r="A211" s="25"/>
      <c r="B211" s="25"/>
      <c r="C211" s="25"/>
      <c r="D211" s="55"/>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spans="1:27" ht="14.25" customHeight="1">
      <c r="A212" s="25"/>
      <c r="B212" s="25"/>
      <c r="C212" s="25"/>
      <c r="D212" s="55"/>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spans="1:27" ht="14.25" customHeight="1">
      <c r="A213" s="25"/>
      <c r="B213" s="25"/>
      <c r="C213" s="25"/>
      <c r="D213" s="55"/>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spans="1:27" ht="14.25" customHeight="1">
      <c r="A214" s="25"/>
      <c r="B214" s="25"/>
      <c r="C214" s="25"/>
      <c r="D214" s="55"/>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spans="1:27" ht="14.25" customHeight="1">
      <c r="A215" s="25"/>
      <c r="B215" s="25"/>
      <c r="C215" s="25"/>
      <c r="D215" s="55"/>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spans="1:27" ht="14.25" customHeight="1">
      <c r="A216" s="25"/>
      <c r="B216" s="25"/>
      <c r="C216" s="25"/>
      <c r="D216" s="55"/>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spans="1:27" ht="14.25" customHeight="1">
      <c r="A217" s="25"/>
      <c r="B217" s="25"/>
      <c r="C217" s="25"/>
      <c r="D217" s="55"/>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spans="1:27" ht="14.25" customHeight="1">
      <c r="A218" s="25"/>
      <c r="B218" s="25"/>
      <c r="C218" s="25"/>
      <c r="D218" s="55"/>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spans="1:27" ht="14.25" customHeight="1">
      <c r="A219" s="25"/>
      <c r="B219" s="25"/>
      <c r="C219" s="25"/>
      <c r="D219" s="55"/>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spans="1:27" ht="14.25" customHeight="1">
      <c r="A220" s="25"/>
      <c r="B220" s="25"/>
      <c r="C220" s="25"/>
      <c r="D220" s="55"/>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spans="1:27"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spans="1:27"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spans="1:27" ht="14.25" customHeight="1"/>
    <row r="224" spans="1:27"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
    <mergeCell ref="A1:L1"/>
    <mergeCell ref="A15:D15"/>
    <mergeCell ref="F17:G17"/>
    <mergeCell ref="B22:B26"/>
    <mergeCell ref="J4:L4"/>
    <mergeCell ref="F21:H21"/>
    <mergeCell ref="J3:L3"/>
    <mergeCell ref="J21:L21"/>
    <mergeCell ref="B16:D16"/>
    <mergeCell ref="F3:G3"/>
    <mergeCell ref="F22:H26"/>
    <mergeCell ref="A2:L2"/>
    <mergeCell ref="F19:H19"/>
    <mergeCell ref="D22:D26"/>
    <mergeCell ref="J22:L26"/>
  </mergeCells>
  <conditionalFormatting sqref="B19 D19 F19">
    <cfRule type="expression" dxfId="7" priority="1">
      <formula>LEN(TRIM(B19))=0</formula>
    </cfRule>
  </conditionalFormatting>
  <conditionalFormatting sqref="B22 D22 F22:G22">
    <cfRule type="expression" dxfId="6" priority="2">
      <formula>LEN(TRIM(B22))=0</formula>
    </cfRule>
  </conditionalFormatting>
  <conditionalFormatting sqref="D3:D5">
    <cfRule type="expression" dxfId="5" priority="3">
      <formula>LEN(TRIM(D3))=0</formula>
    </cfRule>
  </conditionalFormatting>
  <conditionalFormatting sqref="F16">
    <cfRule type="cellIs" dxfId="4" priority="4" operator="lessThan">
      <formula>10</formula>
    </cfRule>
    <cfRule type="cellIs" dxfId="3" priority="5" operator="greaterThanOrEqual">
      <formula>10</formula>
    </cfRule>
  </conditionalFormatting>
  <conditionalFormatting sqref="G7:L14">
    <cfRule type="expression" dxfId="2" priority="6">
      <formula>LEN(TRIM(G7))=0</formula>
    </cfRule>
  </conditionalFormatting>
  <conditionalFormatting sqref="H3">
    <cfRule type="expression" dxfId="1" priority="7">
      <formula>LEN(TRIM(H3))=0</formula>
    </cfRule>
  </conditionalFormatting>
  <conditionalFormatting sqref="J22">
    <cfRule type="expression" dxfId="0" priority="8">
      <formula>LEN(TRIM(J22))=0</formula>
    </cfRule>
  </conditionalFormatting>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1000"/>
  <sheetViews>
    <sheetView workbookViewId="0"/>
  </sheetViews>
  <sheetFormatPr baseColWidth="10" defaultColWidth="12.625" defaultRowHeight="15" customHeight="1"/>
  <cols>
    <col min="1" max="1" width="9.375" customWidth="1"/>
    <col min="2" max="2" width="16.75" customWidth="1"/>
    <col min="3" max="3" width="44.125" customWidth="1"/>
    <col min="4" max="4" width="55.5" customWidth="1"/>
    <col min="5" max="5" width="69.25" customWidth="1"/>
    <col min="6" max="6" width="9.375" customWidth="1"/>
    <col min="7" max="7" width="10" customWidth="1"/>
    <col min="8" max="8" width="60.75" customWidth="1"/>
    <col min="9" max="9" width="9.375" customWidth="1"/>
  </cols>
  <sheetData>
    <row r="1" spans="2:9" ht="14.25" customHeight="1">
      <c r="B1" s="56" t="s">
        <v>178</v>
      </c>
      <c r="G1" s="57"/>
      <c r="H1" s="58"/>
    </row>
    <row r="2" spans="2:9" ht="14.25" customHeight="1">
      <c r="B2" s="59" t="s">
        <v>179</v>
      </c>
      <c r="G2" s="57"/>
      <c r="H2" s="58"/>
    </row>
    <row r="3" spans="2:9" ht="14.25" customHeight="1">
      <c r="G3" s="57"/>
      <c r="H3" s="58"/>
    </row>
    <row r="4" spans="2:9" ht="14.25" customHeight="1">
      <c r="B4" s="60" t="s">
        <v>180</v>
      </c>
      <c r="C4" s="61" t="s">
        <v>181</v>
      </c>
      <c r="D4" s="62" t="s">
        <v>182</v>
      </c>
      <c r="E4" s="63" t="s">
        <v>183</v>
      </c>
      <c r="G4" s="57"/>
      <c r="H4" s="58"/>
    </row>
    <row r="5" spans="2:9" ht="61.5" customHeight="1">
      <c r="B5" s="116" t="s">
        <v>184</v>
      </c>
      <c r="C5" s="114"/>
      <c r="D5" s="114"/>
      <c r="E5" s="117"/>
      <c r="G5" s="64" t="s">
        <v>185</v>
      </c>
      <c r="H5" s="64" t="s">
        <v>49</v>
      </c>
      <c r="I5" s="64"/>
    </row>
    <row r="6" spans="2:9" ht="14.25" customHeight="1">
      <c r="B6" s="65"/>
      <c r="C6" s="66"/>
      <c r="D6" s="67"/>
      <c r="E6" s="68"/>
      <c r="G6" s="57" t="s">
        <v>186</v>
      </c>
      <c r="H6" s="58" t="s">
        <v>187</v>
      </c>
    </row>
    <row r="7" spans="2:9" ht="14.25" customHeight="1">
      <c r="B7" s="69" t="s">
        <v>188</v>
      </c>
      <c r="C7" s="67" t="s">
        <v>189</v>
      </c>
      <c r="D7" s="67"/>
      <c r="E7" s="70" t="s">
        <v>190</v>
      </c>
      <c r="G7" s="57" t="s">
        <v>191</v>
      </c>
      <c r="H7" s="71" t="s">
        <v>192</v>
      </c>
      <c r="I7" s="72" t="s">
        <v>193</v>
      </c>
    </row>
    <row r="8" spans="2:9" ht="14.25" customHeight="1">
      <c r="B8" s="73"/>
      <c r="C8" s="67" t="s">
        <v>194</v>
      </c>
      <c r="D8" s="66" t="s">
        <v>195</v>
      </c>
      <c r="E8" s="70" t="s">
        <v>196</v>
      </c>
      <c r="G8" s="57" t="s">
        <v>197</v>
      </c>
      <c r="H8" s="71" t="s">
        <v>198</v>
      </c>
      <c r="I8" s="72" t="s">
        <v>199</v>
      </c>
    </row>
    <row r="9" spans="2:9" ht="14.25" customHeight="1">
      <c r="B9" s="73"/>
      <c r="C9" s="67" t="s">
        <v>200</v>
      </c>
      <c r="D9" s="74"/>
      <c r="E9" s="70" t="s">
        <v>201</v>
      </c>
      <c r="G9" s="57" t="s">
        <v>202</v>
      </c>
      <c r="H9" s="71" t="s">
        <v>203</v>
      </c>
      <c r="I9" s="72" t="s">
        <v>204</v>
      </c>
    </row>
    <row r="10" spans="2:9" ht="14.25" customHeight="1">
      <c r="B10" s="73"/>
      <c r="C10" s="67" t="s">
        <v>205</v>
      </c>
      <c r="D10" s="66" t="s">
        <v>206</v>
      </c>
      <c r="E10" s="70" t="s">
        <v>207</v>
      </c>
      <c r="G10" s="57" t="s">
        <v>208</v>
      </c>
      <c r="H10" s="71" t="s">
        <v>209</v>
      </c>
      <c r="I10" s="72" t="s">
        <v>210</v>
      </c>
    </row>
    <row r="11" spans="2:9" ht="14.25" customHeight="1">
      <c r="B11" s="73"/>
      <c r="C11" s="75"/>
      <c r="D11" s="74"/>
      <c r="E11" s="70" t="s">
        <v>211</v>
      </c>
      <c r="G11" s="57" t="s">
        <v>212</v>
      </c>
      <c r="H11" s="71" t="s">
        <v>213</v>
      </c>
      <c r="I11" s="72" t="s">
        <v>214</v>
      </c>
    </row>
    <row r="12" spans="2:9" ht="14.25" customHeight="1">
      <c r="B12" s="73"/>
      <c r="C12" s="67" t="s">
        <v>215</v>
      </c>
      <c r="D12" s="66" t="s">
        <v>216</v>
      </c>
      <c r="E12" s="70" t="s">
        <v>217</v>
      </c>
      <c r="G12" s="57" t="s">
        <v>218</v>
      </c>
      <c r="H12" s="71" t="s">
        <v>219</v>
      </c>
      <c r="I12" s="72" t="s">
        <v>220</v>
      </c>
    </row>
    <row r="13" spans="2:9" ht="14.25" customHeight="1">
      <c r="B13" s="73"/>
      <c r="C13" s="76" t="s">
        <v>221</v>
      </c>
      <c r="D13" s="74"/>
      <c r="E13" s="70" t="s">
        <v>222</v>
      </c>
      <c r="G13" s="57" t="s">
        <v>223</v>
      </c>
      <c r="H13" s="71" t="s">
        <v>224</v>
      </c>
      <c r="I13" s="72" t="s">
        <v>225</v>
      </c>
    </row>
    <row r="14" spans="2:9" ht="14.25" customHeight="1">
      <c r="B14" s="106" t="s">
        <v>226</v>
      </c>
      <c r="C14" s="77"/>
      <c r="D14" s="77" t="s">
        <v>227</v>
      </c>
      <c r="E14" s="78"/>
      <c r="G14" s="64" t="s">
        <v>228</v>
      </c>
      <c r="H14" s="64" t="s">
        <v>229</v>
      </c>
      <c r="I14" s="64"/>
    </row>
    <row r="15" spans="2:9" ht="14.25" customHeight="1">
      <c r="B15" s="107"/>
      <c r="C15" s="67" t="s">
        <v>230</v>
      </c>
      <c r="D15" s="67"/>
      <c r="E15" s="67" t="s">
        <v>231</v>
      </c>
      <c r="G15" s="57" t="s">
        <v>232</v>
      </c>
      <c r="H15" s="71" t="s">
        <v>233</v>
      </c>
      <c r="I15" s="72" t="s">
        <v>234</v>
      </c>
    </row>
    <row r="16" spans="2:9" ht="14.25" customHeight="1">
      <c r="B16" s="107"/>
      <c r="C16" s="67" t="s">
        <v>235</v>
      </c>
      <c r="D16" s="79"/>
      <c r="E16" s="67" t="s">
        <v>236</v>
      </c>
      <c r="G16" s="57" t="s">
        <v>237</v>
      </c>
      <c r="H16" s="71" t="s">
        <v>238</v>
      </c>
      <c r="I16" s="72" t="s">
        <v>239</v>
      </c>
    </row>
    <row r="17" spans="2:9" ht="42.75" customHeight="1">
      <c r="B17" s="107"/>
      <c r="C17" s="79"/>
      <c r="D17" s="79"/>
      <c r="E17" s="67" t="s">
        <v>240</v>
      </c>
      <c r="G17" s="64" t="s">
        <v>241</v>
      </c>
      <c r="H17" s="64" t="s">
        <v>242</v>
      </c>
      <c r="I17" s="64"/>
    </row>
    <row r="18" spans="2:9" ht="14.25" customHeight="1">
      <c r="B18" s="107"/>
      <c r="C18" s="79"/>
      <c r="D18" s="79"/>
      <c r="E18" s="72" t="s">
        <v>193</v>
      </c>
      <c r="G18" s="57" t="s">
        <v>243</v>
      </c>
      <c r="H18" s="71" t="s">
        <v>244</v>
      </c>
      <c r="I18" s="72" t="s">
        <v>245</v>
      </c>
    </row>
    <row r="19" spans="2:9" ht="14.25" customHeight="1">
      <c r="B19" s="107"/>
      <c r="C19" s="79"/>
      <c r="D19" s="79"/>
      <c r="E19" s="72" t="s">
        <v>199</v>
      </c>
      <c r="G19" s="57" t="s">
        <v>246</v>
      </c>
      <c r="H19" s="71" t="s">
        <v>247</v>
      </c>
      <c r="I19" s="72" t="s">
        <v>248</v>
      </c>
    </row>
    <row r="20" spans="2:9" ht="14.25" customHeight="1">
      <c r="B20" s="107"/>
      <c r="C20" s="79"/>
      <c r="D20" s="79"/>
      <c r="E20" s="72" t="s">
        <v>204</v>
      </c>
      <c r="G20" s="57" t="s">
        <v>249</v>
      </c>
      <c r="H20" s="71" t="s">
        <v>250</v>
      </c>
      <c r="I20" s="72" t="s">
        <v>251</v>
      </c>
    </row>
    <row r="21" spans="2:9" ht="14.25" customHeight="1">
      <c r="B21" s="107"/>
      <c r="C21" s="79"/>
      <c r="D21" s="79"/>
      <c r="E21" s="72" t="s">
        <v>210</v>
      </c>
      <c r="G21" s="57" t="s">
        <v>252</v>
      </c>
      <c r="H21" s="71" t="s">
        <v>253</v>
      </c>
      <c r="I21" s="72" t="s">
        <v>254</v>
      </c>
    </row>
    <row r="22" spans="2:9" ht="14.25" customHeight="1">
      <c r="B22" s="107"/>
      <c r="C22" s="79"/>
      <c r="D22" s="79"/>
      <c r="E22" s="72" t="s">
        <v>214</v>
      </c>
      <c r="G22" s="57" t="s">
        <v>255</v>
      </c>
      <c r="H22" s="71" t="s">
        <v>256</v>
      </c>
      <c r="I22" s="72" t="s">
        <v>257</v>
      </c>
    </row>
    <row r="23" spans="2:9" ht="14.25" customHeight="1">
      <c r="B23" s="107"/>
      <c r="C23" s="79"/>
      <c r="D23" s="79"/>
      <c r="E23" s="72" t="s">
        <v>220</v>
      </c>
      <c r="G23" s="57" t="s">
        <v>258</v>
      </c>
      <c r="H23" s="71" t="s">
        <v>259</v>
      </c>
      <c r="I23" s="72" t="s">
        <v>260</v>
      </c>
    </row>
    <row r="24" spans="2:9" ht="14.25" customHeight="1">
      <c r="B24" s="107"/>
      <c r="C24" s="79"/>
      <c r="D24" s="79"/>
      <c r="E24" s="72" t="s">
        <v>225</v>
      </c>
      <c r="G24" s="57" t="s">
        <v>261</v>
      </c>
      <c r="H24" s="71" t="s">
        <v>262</v>
      </c>
      <c r="I24" s="72" t="s">
        <v>263</v>
      </c>
    </row>
    <row r="25" spans="2:9" ht="14.25" customHeight="1">
      <c r="B25" s="107"/>
      <c r="C25" s="79"/>
      <c r="D25" s="79"/>
      <c r="E25" s="72" t="s">
        <v>234</v>
      </c>
      <c r="G25" s="57"/>
      <c r="H25" s="58"/>
    </row>
    <row r="26" spans="2:9" ht="17.25" customHeight="1">
      <c r="B26" s="107"/>
      <c r="C26" s="79"/>
      <c r="D26" s="79"/>
      <c r="E26" s="72" t="s">
        <v>239</v>
      </c>
      <c r="G26" s="57"/>
      <c r="H26" s="58"/>
    </row>
    <row r="27" spans="2:9" ht="17.25" customHeight="1">
      <c r="B27" s="108"/>
      <c r="C27" s="80"/>
      <c r="D27" s="80"/>
      <c r="E27" s="81" t="s">
        <v>264</v>
      </c>
      <c r="G27" s="57"/>
      <c r="H27" s="58"/>
    </row>
    <row r="28" spans="2:9" ht="14.25" customHeight="1">
      <c r="G28" s="57"/>
      <c r="H28" s="58"/>
    </row>
    <row r="29" spans="2:9" ht="14.25" customHeight="1">
      <c r="B29" s="113" t="s">
        <v>265</v>
      </c>
      <c r="C29" s="114"/>
      <c r="D29" s="114"/>
      <c r="E29" s="115"/>
      <c r="G29" s="57"/>
      <c r="H29" s="58"/>
    </row>
    <row r="30" spans="2:9" ht="14.25" customHeight="1">
      <c r="B30" s="112"/>
      <c r="C30" s="66"/>
      <c r="D30" s="67"/>
      <c r="E30" s="75"/>
      <c r="G30" s="57"/>
      <c r="H30" s="58"/>
    </row>
    <row r="31" spans="2:9" ht="14.25" customHeight="1">
      <c r="B31" s="107"/>
      <c r="C31" s="67" t="s">
        <v>266</v>
      </c>
      <c r="D31" s="67"/>
      <c r="E31" s="66" t="s">
        <v>267</v>
      </c>
      <c r="G31" s="57"/>
      <c r="H31" s="58"/>
    </row>
    <row r="32" spans="2:9" ht="14.25" customHeight="1">
      <c r="B32" s="107"/>
      <c r="C32" s="67" t="s">
        <v>268</v>
      </c>
      <c r="D32" s="66" t="s">
        <v>269</v>
      </c>
      <c r="E32" s="66" t="s">
        <v>270</v>
      </c>
      <c r="G32" s="57"/>
      <c r="H32" s="58"/>
    </row>
    <row r="33" spans="2:8" ht="14.25" customHeight="1">
      <c r="B33" s="107"/>
      <c r="C33" s="74"/>
      <c r="D33" s="74"/>
      <c r="E33" s="66" t="s">
        <v>271</v>
      </c>
      <c r="G33" s="57"/>
      <c r="H33" s="58"/>
    </row>
    <row r="34" spans="2:8" ht="14.25" customHeight="1">
      <c r="B34" s="107"/>
      <c r="C34" s="67" t="s">
        <v>272</v>
      </c>
      <c r="D34" s="66" t="s">
        <v>273</v>
      </c>
      <c r="E34" s="66" t="s">
        <v>274</v>
      </c>
      <c r="G34" s="57"/>
      <c r="H34" s="58"/>
    </row>
    <row r="35" spans="2:8" ht="14.25" customHeight="1">
      <c r="B35" s="107"/>
      <c r="C35" s="66"/>
      <c r="D35" s="74"/>
      <c r="E35" s="66" t="s">
        <v>275</v>
      </c>
      <c r="G35" s="57"/>
      <c r="H35" s="58"/>
    </row>
    <row r="36" spans="2:8" ht="14.25" customHeight="1">
      <c r="B36" s="107"/>
      <c r="C36" s="67" t="s">
        <v>276</v>
      </c>
      <c r="D36" s="66" t="s">
        <v>277</v>
      </c>
      <c r="E36" s="66" t="s">
        <v>278</v>
      </c>
      <c r="G36" s="57"/>
      <c r="H36" s="58"/>
    </row>
    <row r="37" spans="2:8" ht="14.25" customHeight="1">
      <c r="B37" s="107"/>
      <c r="C37" s="66"/>
      <c r="D37" s="74"/>
      <c r="E37" s="66" t="s">
        <v>279</v>
      </c>
      <c r="G37" s="57"/>
      <c r="H37" s="58"/>
    </row>
    <row r="38" spans="2:8" ht="14.25" customHeight="1">
      <c r="B38" s="107"/>
      <c r="C38" s="67" t="s">
        <v>280</v>
      </c>
      <c r="D38" s="66" t="s">
        <v>281</v>
      </c>
      <c r="E38" s="66" t="s">
        <v>282</v>
      </c>
      <c r="G38" s="57"/>
      <c r="H38" s="58"/>
    </row>
    <row r="39" spans="2:8" ht="14.25" customHeight="1">
      <c r="B39" s="107"/>
      <c r="C39" s="75"/>
      <c r="D39" s="74" t="s">
        <v>283</v>
      </c>
      <c r="E39" s="67" t="s">
        <v>240</v>
      </c>
      <c r="G39" s="57"/>
      <c r="H39" s="58"/>
    </row>
    <row r="40" spans="2:8" ht="14.25" customHeight="1">
      <c r="B40" s="107"/>
      <c r="C40" s="67" t="s">
        <v>284</v>
      </c>
      <c r="D40" s="74"/>
      <c r="E40" s="72"/>
      <c r="G40" s="57"/>
      <c r="H40" s="58"/>
    </row>
    <row r="41" spans="2:8" ht="14.25" customHeight="1">
      <c r="B41" s="107"/>
      <c r="C41" s="67" t="s">
        <v>285</v>
      </c>
      <c r="D41" s="79"/>
      <c r="E41" s="72" t="s">
        <v>245</v>
      </c>
      <c r="G41" s="57"/>
      <c r="H41" s="58"/>
    </row>
    <row r="42" spans="2:8" ht="14.25" customHeight="1">
      <c r="B42" s="107"/>
      <c r="C42" s="67"/>
      <c r="D42" s="79"/>
      <c r="E42" s="72" t="s">
        <v>248</v>
      </c>
      <c r="G42" s="57"/>
      <c r="H42" s="58"/>
    </row>
    <row r="43" spans="2:8" ht="14.25" customHeight="1">
      <c r="B43" s="107"/>
      <c r="C43" s="67" t="s">
        <v>286</v>
      </c>
      <c r="D43" s="79"/>
      <c r="E43" s="72" t="s">
        <v>251</v>
      </c>
      <c r="G43" s="57"/>
      <c r="H43" s="58"/>
    </row>
    <row r="44" spans="2:8" ht="14.25" customHeight="1">
      <c r="B44" s="107"/>
      <c r="C44" s="66"/>
      <c r="D44" s="79"/>
      <c r="E44" s="72" t="s">
        <v>254</v>
      </c>
      <c r="G44" s="57"/>
      <c r="H44" s="58"/>
    </row>
    <row r="45" spans="2:8" ht="14.25" customHeight="1">
      <c r="B45" s="107"/>
      <c r="C45" s="67" t="s">
        <v>287</v>
      </c>
      <c r="D45" s="79"/>
      <c r="E45" s="72" t="s">
        <v>257</v>
      </c>
      <c r="G45" s="57"/>
      <c r="H45" s="58"/>
    </row>
    <row r="46" spans="2:8" ht="14.25" customHeight="1">
      <c r="B46" s="107"/>
      <c r="C46" s="72"/>
      <c r="D46" s="79"/>
      <c r="E46" s="72" t="s">
        <v>260</v>
      </c>
      <c r="G46" s="57"/>
      <c r="H46" s="58"/>
    </row>
    <row r="47" spans="2:8" ht="14.25" customHeight="1">
      <c r="B47" s="107"/>
      <c r="C47" s="72"/>
      <c r="D47" s="79"/>
      <c r="E47" s="72" t="s">
        <v>263</v>
      </c>
      <c r="G47" s="57"/>
      <c r="H47" s="58"/>
    </row>
    <row r="48" spans="2:8" ht="14.25" customHeight="1">
      <c r="B48" s="107"/>
      <c r="C48" s="72"/>
      <c r="D48" s="79"/>
      <c r="E48" s="72"/>
      <c r="G48" s="57"/>
      <c r="H48" s="58"/>
    </row>
    <row r="49" spans="2:8" ht="14.25" customHeight="1">
      <c r="B49" s="108"/>
      <c r="C49" s="82"/>
      <c r="D49" s="80"/>
      <c r="E49" s="81" t="s">
        <v>264</v>
      </c>
      <c r="G49" s="57"/>
      <c r="H49" s="58"/>
    </row>
    <row r="50" spans="2:8" ht="14.25" customHeight="1">
      <c r="B50" s="83"/>
      <c r="G50" s="57"/>
      <c r="H50" s="58"/>
    </row>
    <row r="51" spans="2:8" ht="14.25" customHeight="1">
      <c r="B51" s="83"/>
      <c r="G51" s="57"/>
      <c r="H51" s="58"/>
    </row>
    <row r="52" spans="2:8" ht="14.25" customHeight="1">
      <c r="B52" s="83"/>
      <c r="G52" s="57"/>
      <c r="H52" s="58"/>
    </row>
    <row r="53" spans="2:8" ht="14.25" customHeight="1">
      <c r="B53" s="118" t="s">
        <v>180</v>
      </c>
      <c r="C53" s="84" t="s">
        <v>288</v>
      </c>
      <c r="D53" s="109" t="s">
        <v>182</v>
      </c>
      <c r="E53" s="110" t="s">
        <v>183</v>
      </c>
      <c r="G53" s="57"/>
      <c r="H53" s="58"/>
    </row>
    <row r="54" spans="2:8" ht="14.25" customHeight="1">
      <c r="B54" s="119"/>
      <c r="C54" s="85" t="s">
        <v>289</v>
      </c>
      <c r="D54" s="108"/>
      <c r="E54" s="111"/>
      <c r="G54" s="57"/>
      <c r="H54" s="58"/>
    </row>
    <row r="55" spans="2:8" ht="14.25" customHeight="1">
      <c r="B55" s="116" t="s">
        <v>290</v>
      </c>
      <c r="C55" s="114"/>
      <c r="D55" s="114"/>
      <c r="E55" s="117"/>
      <c r="G55" s="57"/>
      <c r="H55" s="58"/>
    </row>
    <row r="56" spans="2:8" ht="14.25" customHeight="1">
      <c r="B56" s="112"/>
      <c r="C56" s="77"/>
      <c r="D56" s="86"/>
      <c r="E56" s="87"/>
      <c r="G56" s="57"/>
      <c r="H56" s="58"/>
    </row>
    <row r="57" spans="2:8" ht="14.25" customHeight="1">
      <c r="B57" s="107"/>
      <c r="C57" s="67" t="s">
        <v>291</v>
      </c>
      <c r="D57" s="67"/>
      <c r="E57" s="67"/>
      <c r="G57" s="57"/>
      <c r="H57" s="58"/>
    </row>
    <row r="58" spans="2:8" ht="14.25" customHeight="1">
      <c r="B58" s="107"/>
      <c r="C58" s="88"/>
      <c r="D58" s="66" t="s">
        <v>292</v>
      </c>
      <c r="E58" s="67" t="s">
        <v>293</v>
      </c>
      <c r="G58" s="57"/>
      <c r="H58" s="58"/>
    </row>
    <row r="59" spans="2:8" ht="14.25" customHeight="1">
      <c r="B59" s="107"/>
      <c r="C59" s="67" t="s">
        <v>294</v>
      </c>
      <c r="D59" s="79"/>
      <c r="E59" s="72"/>
      <c r="G59" s="57"/>
      <c r="H59" s="58"/>
    </row>
    <row r="60" spans="2:8" ht="14.25" customHeight="1">
      <c r="B60" s="107"/>
      <c r="C60" s="67" t="s">
        <v>295</v>
      </c>
      <c r="D60" s="79"/>
      <c r="E60" s="89"/>
      <c r="G60" s="57"/>
      <c r="H60" s="58"/>
    </row>
    <row r="61" spans="2:8" ht="14.25" customHeight="1">
      <c r="B61" s="108"/>
      <c r="C61" s="90" t="s">
        <v>296</v>
      </c>
      <c r="D61" s="80"/>
      <c r="E61" s="80"/>
      <c r="G61" s="57"/>
      <c r="H61" s="58"/>
    </row>
    <row r="62" spans="2:8" ht="14.25" customHeight="1">
      <c r="G62" s="57"/>
      <c r="H62" s="58"/>
    </row>
    <row r="63" spans="2:8" ht="14.25" customHeight="1">
      <c r="G63" s="57"/>
      <c r="H63" s="58"/>
    </row>
    <row r="64" spans="2:8" ht="14.25" customHeight="1">
      <c r="G64" s="57"/>
      <c r="H64" s="58"/>
    </row>
    <row r="65" spans="7:8" ht="14.25" customHeight="1">
      <c r="G65" s="57"/>
      <c r="H65" s="58"/>
    </row>
    <row r="66" spans="7:8" ht="14.25" customHeight="1">
      <c r="G66" s="57"/>
      <c r="H66" s="58"/>
    </row>
    <row r="67" spans="7:8" ht="14.25" customHeight="1">
      <c r="G67" s="57"/>
      <c r="H67" s="58"/>
    </row>
    <row r="68" spans="7:8" ht="14.25" customHeight="1">
      <c r="G68" s="57"/>
      <c r="H68" s="58"/>
    </row>
    <row r="69" spans="7:8" ht="14.25" customHeight="1">
      <c r="G69" s="57"/>
      <c r="H69" s="58"/>
    </row>
    <row r="70" spans="7:8" ht="14.25" customHeight="1">
      <c r="G70" s="57"/>
      <c r="H70" s="58"/>
    </row>
    <row r="71" spans="7:8" ht="14.25" customHeight="1">
      <c r="G71" s="57"/>
      <c r="H71" s="58"/>
    </row>
    <row r="72" spans="7:8" ht="14.25" customHeight="1">
      <c r="G72" s="57"/>
      <c r="H72" s="58"/>
    </row>
    <row r="73" spans="7:8" ht="14.25" customHeight="1">
      <c r="G73" s="57"/>
      <c r="H73" s="58"/>
    </row>
    <row r="74" spans="7:8" ht="14.25" customHeight="1">
      <c r="G74" s="57"/>
      <c r="H74" s="58"/>
    </row>
    <row r="75" spans="7:8" ht="14.25" customHeight="1">
      <c r="G75" s="57"/>
      <c r="H75" s="58"/>
    </row>
    <row r="76" spans="7:8" ht="14.25" customHeight="1">
      <c r="G76" s="57"/>
      <c r="H76" s="58"/>
    </row>
    <row r="77" spans="7:8" ht="14.25" customHeight="1">
      <c r="G77" s="57"/>
      <c r="H77" s="58"/>
    </row>
    <row r="78" spans="7:8" ht="14.25" customHeight="1">
      <c r="G78" s="57"/>
      <c r="H78" s="58"/>
    </row>
    <row r="79" spans="7:8" ht="14.25" customHeight="1">
      <c r="G79" s="57"/>
      <c r="H79" s="58"/>
    </row>
    <row r="80" spans="7:8" ht="14.25" customHeight="1">
      <c r="G80" s="57"/>
      <c r="H80" s="58"/>
    </row>
    <row r="81" spans="7:8" ht="14.25" customHeight="1">
      <c r="G81" s="57"/>
      <c r="H81" s="58"/>
    </row>
    <row r="82" spans="7:8" ht="14.25" customHeight="1">
      <c r="G82" s="57"/>
      <c r="H82" s="58"/>
    </row>
    <row r="83" spans="7:8" ht="14.25" customHeight="1">
      <c r="G83" s="57"/>
      <c r="H83" s="58"/>
    </row>
    <row r="84" spans="7:8" ht="14.25" customHeight="1">
      <c r="G84" s="57"/>
      <c r="H84" s="58"/>
    </row>
    <row r="85" spans="7:8" ht="14.25" customHeight="1">
      <c r="G85" s="57"/>
      <c r="H85" s="58"/>
    </row>
    <row r="86" spans="7:8" ht="14.25" customHeight="1">
      <c r="G86" s="57"/>
      <c r="H86" s="58"/>
    </row>
    <row r="87" spans="7:8" ht="14.25" customHeight="1">
      <c r="G87" s="57"/>
      <c r="H87" s="58"/>
    </row>
    <row r="88" spans="7:8" ht="14.25" customHeight="1">
      <c r="G88" s="57"/>
      <c r="H88" s="58"/>
    </row>
    <row r="89" spans="7:8" ht="14.25" customHeight="1">
      <c r="G89" s="57"/>
      <c r="H89" s="58"/>
    </row>
    <row r="90" spans="7:8" ht="14.25" customHeight="1">
      <c r="G90" s="57"/>
      <c r="H90" s="58"/>
    </row>
    <row r="91" spans="7:8" ht="14.25" customHeight="1">
      <c r="G91" s="57"/>
      <c r="H91" s="58"/>
    </row>
    <row r="92" spans="7:8" ht="14.25" customHeight="1">
      <c r="G92" s="57"/>
      <c r="H92" s="58"/>
    </row>
    <row r="93" spans="7:8" ht="14.25" customHeight="1">
      <c r="G93" s="57"/>
      <c r="H93" s="58"/>
    </row>
    <row r="94" spans="7:8" ht="14.25" customHeight="1">
      <c r="G94" s="57"/>
      <c r="H94" s="58"/>
    </row>
    <row r="95" spans="7:8" ht="14.25" customHeight="1">
      <c r="G95" s="57"/>
      <c r="H95" s="58"/>
    </row>
    <row r="96" spans="7:8" ht="14.25" customHeight="1">
      <c r="G96" s="57"/>
      <c r="H96" s="58"/>
    </row>
    <row r="97" spans="7:8" ht="14.25" customHeight="1">
      <c r="G97" s="57"/>
      <c r="H97" s="58"/>
    </row>
    <row r="98" spans="7:8" ht="14.25" customHeight="1">
      <c r="G98" s="57"/>
      <c r="H98" s="58"/>
    </row>
    <row r="99" spans="7:8" ht="14.25" customHeight="1">
      <c r="G99" s="57"/>
      <c r="H99" s="58"/>
    </row>
    <row r="100" spans="7:8" ht="14.25" customHeight="1">
      <c r="G100" s="57"/>
      <c r="H100" s="58"/>
    </row>
    <row r="101" spans="7:8" ht="14.25" customHeight="1">
      <c r="G101" s="57"/>
      <c r="H101" s="58"/>
    </row>
    <row r="102" spans="7:8" ht="14.25" customHeight="1">
      <c r="G102" s="57"/>
      <c r="H102" s="58"/>
    </row>
    <row r="103" spans="7:8" ht="14.25" customHeight="1">
      <c r="G103" s="57"/>
      <c r="H103" s="58"/>
    </row>
    <row r="104" spans="7:8" ht="14.25" customHeight="1">
      <c r="G104" s="57"/>
      <c r="H104" s="58"/>
    </row>
    <row r="105" spans="7:8" ht="14.25" customHeight="1">
      <c r="G105" s="57"/>
      <c r="H105" s="58"/>
    </row>
    <row r="106" spans="7:8" ht="14.25" customHeight="1">
      <c r="G106" s="57"/>
      <c r="H106" s="58"/>
    </row>
    <row r="107" spans="7:8" ht="14.25" customHeight="1">
      <c r="G107" s="57"/>
      <c r="H107" s="58"/>
    </row>
    <row r="108" spans="7:8" ht="14.25" customHeight="1">
      <c r="G108" s="57"/>
      <c r="H108" s="58"/>
    </row>
    <row r="109" spans="7:8" ht="14.25" customHeight="1">
      <c r="G109" s="57"/>
      <c r="H109" s="58"/>
    </row>
    <row r="110" spans="7:8" ht="14.25" customHeight="1">
      <c r="G110" s="57"/>
      <c r="H110" s="58"/>
    </row>
    <row r="111" spans="7:8" ht="14.25" customHeight="1">
      <c r="G111" s="57"/>
      <c r="H111" s="58"/>
    </row>
    <row r="112" spans="7:8" ht="14.25" customHeight="1">
      <c r="G112" s="57"/>
      <c r="H112" s="58"/>
    </row>
    <row r="113" spans="7:8" ht="14.25" customHeight="1">
      <c r="G113" s="57"/>
      <c r="H113" s="58"/>
    </row>
    <row r="114" spans="7:8" ht="14.25" customHeight="1">
      <c r="G114" s="57"/>
      <c r="H114" s="58"/>
    </row>
    <row r="115" spans="7:8" ht="14.25" customHeight="1">
      <c r="G115" s="57"/>
      <c r="H115" s="58"/>
    </row>
    <row r="116" spans="7:8" ht="14.25" customHeight="1">
      <c r="G116" s="57"/>
      <c r="H116" s="58"/>
    </row>
    <row r="117" spans="7:8" ht="14.25" customHeight="1">
      <c r="G117" s="57"/>
      <c r="H117" s="58"/>
    </row>
    <row r="118" spans="7:8" ht="14.25" customHeight="1">
      <c r="G118" s="57"/>
      <c r="H118" s="58"/>
    </row>
    <row r="119" spans="7:8" ht="14.25" customHeight="1">
      <c r="G119" s="57"/>
      <c r="H119" s="58"/>
    </row>
    <row r="120" spans="7:8" ht="14.25" customHeight="1">
      <c r="G120" s="57"/>
      <c r="H120" s="58"/>
    </row>
    <row r="121" spans="7:8" ht="14.25" customHeight="1">
      <c r="G121" s="57"/>
      <c r="H121" s="58"/>
    </row>
    <row r="122" spans="7:8" ht="14.25" customHeight="1">
      <c r="G122" s="57"/>
      <c r="H122" s="58"/>
    </row>
    <row r="123" spans="7:8" ht="14.25" customHeight="1">
      <c r="G123" s="57"/>
      <c r="H123" s="58"/>
    </row>
    <row r="124" spans="7:8" ht="14.25" customHeight="1">
      <c r="G124" s="57"/>
      <c r="H124" s="58"/>
    </row>
    <row r="125" spans="7:8" ht="14.25" customHeight="1">
      <c r="G125" s="57"/>
      <c r="H125" s="58"/>
    </row>
    <row r="126" spans="7:8" ht="14.25" customHeight="1">
      <c r="G126" s="57"/>
      <c r="H126" s="58"/>
    </row>
    <row r="127" spans="7:8" ht="14.25" customHeight="1">
      <c r="G127" s="57"/>
      <c r="H127" s="58"/>
    </row>
    <row r="128" spans="7:8" ht="14.25" customHeight="1">
      <c r="G128" s="57"/>
      <c r="H128" s="58"/>
    </row>
    <row r="129" spans="7:8" ht="14.25" customHeight="1">
      <c r="G129" s="57"/>
      <c r="H129" s="58"/>
    </row>
    <row r="130" spans="7:8" ht="14.25" customHeight="1">
      <c r="G130" s="57"/>
      <c r="H130" s="58"/>
    </row>
    <row r="131" spans="7:8" ht="14.25" customHeight="1">
      <c r="G131" s="57"/>
      <c r="H131" s="58"/>
    </row>
    <row r="132" spans="7:8" ht="14.25" customHeight="1">
      <c r="G132" s="57"/>
      <c r="H132" s="58"/>
    </row>
    <row r="133" spans="7:8" ht="14.25" customHeight="1">
      <c r="G133" s="57"/>
      <c r="H133" s="58"/>
    </row>
    <row r="134" spans="7:8" ht="14.25" customHeight="1">
      <c r="G134" s="57"/>
      <c r="H134" s="58"/>
    </row>
    <row r="135" spans="7:8" ht="14.25" customHeight="1">
      <c r="G135" s="57"/>
      <c r="H135" s="58"/>
    </row>
    <row r="136" spans="7:8" ht="14.25" customHeight="1">
      <c r="G136" s="57"/>
      <c r="H136" s="58"/>
    </row>
    <row r="137" spans="7:8" ht="14.25" customHeight="1">
      <c r="G137" s="57"/>
      <c r="H137" s="58"/>
    </row>
    <row r="138" spans="7:8" ht="14.25" customHeight="1">
      <c r="G138" s="57"/>
      <c r="H138" s="58"/>
    </row>
    <row r="139" spans="7:8" ht="14.25" customHeight="1">
      <c r="G139" s="57"/>
      <c r="H139" s="58"/>
    </row>
    <row r="140" spans="7:8" ht="14.25" customHeight="1">
      <c r="G140" s="57"/>
      <c r="H140" s="58"/>
    </row>
    <row r="141" spans="7:8" ht="14.25" customHeight="1">
      <c r="G141" s="57"/>
      <c r="H141" s="58"/>
    </row>
    <row r="142" spans="7:8" ht="14.25" customHeight="1">
      <c r="G142" s="57"/>
      <c r="H142" s="58"/>
    </row>
    <row r="143" spans="7:8" ht="14.25" customHeight="1">
      <c r="G143" s="57"/>
      <c r="H143" s="58"/>
    </row>
    <row r="144" spans="7:8" ht="14.25" customHeight="1">
      <c r="G144" s="57"/>
      <c r="H144" s="58"/>
    </row>
    <row r="145" spans="7:8" ht="14.25" customHeight="1">
      <c r="G145" s="57"/>
      <c r="H145" s="58"/>
    </row>
    <row r="146" spans="7:8" ht="14.25" customHeight="1">
      <c r="G146" s="57"/>
      <c r="H146" s="58"/>
    </row>
    <row r="147" spans="7:8" ht="14.25" customHeight="1">
      <c r="G147" s="57"/>
      <c r="H147" s="58"/>
    </row>
    <row r="148" spans="7:8" ht="14.25" customHeight="1">
      <c r="G148" s="57"/>
      <c r="H148" s="58"/>
    </row>
    <row r="149" spans="7:8" ht="14.25" customHeight="1">
      <c r="G149" s="57"/>
      <c r="H149" s="58"/>
    </row>
    <row r="150" spans="7:8" ht="14.25" customHeight="1">
      <c r="G150" s="57"/>
      <c r="H150" s="58"/>
    </row>
    <row r="151" spans="7:8" ht="14.25" customHeight="1">
      <c r="G151" s="57"/>
      <c r="H151" s="58"/>
    </row>
    <row r="152" spans="7:8" ht="14.25" customHeight="1">
      <c r="G152" s="57"/>
      <c r="H152" s="58"/>
    </row>
    <row r="153" spans="7:8" ht="14.25" customHeight="1">
      <c r="G153" s="57"/>
      <c r="H153" s="58"/>
    </row>
    <row r="154" spans="7:8" ht="14.25" customHeight="1">
      <c r="G154" s="57"/>
      <c r="H154" s="58"/>
    </row>
    <row r="155" spans="7:8" ht="14.25" customHeight="1">
      <c r="G155" s="57"/>
      <c r="H155" s="58"/>
    </row>
    <row r="156" spans="7:8" ht="14.25" customHeight="1">
      <c r="G156" s="57"/>
      <c r="H156" s="58"/>
    </row>
    <row r="157" spans="7:8" ht="14.25" customHeight="1">
      <c r="G157" s="57"/>
      <c r="H157" s="58"/>
    </row>
    <row r="158" spans="7:8" ht="14.25" customHeight="1">
      <c r="G158" s="57"/>
      <c r="H158" s="58"/>
    </row>
    <row r="159" spans="7:8" ht="14.25" customHeight="1">
      <c r="G159" s="57"/>
      <c r="H159" s="58"/>
    </row>
    <row r="160" spans="7:8" ht="14.25" customHeight="1">
      <c r="G160" s="57"/>
      <c r="H160" s="58"/>
    </row>
    <row r="161" spans="7:8" ht="14.25" customHeight="1">
      <c r="G161" s="57"/>
      <c r="H161" s="58"/>
    </row>
    <row r="162" spans="7:8" ht="14.25" customHeight="1">
      <c r="G162" s="57"/>
      <c r="H162" s="58"/>
    </row>
    <row r="163" spans="7:8" ht="14.25" customHeight="1">
      <c r="G163" s="57"/>
      <c r="H163" s="58"/>
    </row>
    <row r="164" spans="7:8" ht="14.25" customHeight="1">
      <c r="G164" s="57"/>
      <c r="H164" s="58"/>
    </row>
    <row r="165" spans="7:8" ht="14.25" customHeight="1">
      <c r="G165" s="57"/>
      <c r="H165" s="58"/>
    </row>
    <row r="166" spans="7:8" ht="14.25" customHeight="1">
      <c r="G166" s="57"/>
      <c r="H166" s="58"/>
    </row>
    <row r="167" spans="7:8" ht="14.25" customHeight="1">
      <c r="G167" s="57"/>
      <c r="H167" s="58"/>
    </row>
    <row r="168" spans="7:8" ht="14.25" customHeight="1">
      <c r="G168" s="57"/>
      <c r="H168" s="58"/>
    </row>
    <row r="169" spans="7:8" ht="14.25" customHeight="1">
      <c r="G169" s="57"/>
      <c r="H169" s="58"/>
    </row>
    <row r="170" spans="7:8" ht="14.25" customHeight="1">
      <c r="G170" s="57"/>
      <c r="H170" s="58"/>
    </row>
    <row r="171" spans="7:8" ht="14.25" customHeight="1">
      <c r="G171" s="57"/>
      <c r="H171" s="58"/>
    </row>
    <row r="172" spans="7:8" ht="14.25" customHeight="1">
      <c r="G172" s="57"/>
      <c r="H172" s="58"/>
    </row>
    <row r="173" spans="7:8" ht="14.25" customHeight="1">
      <c r="G173" s="57"/>
      <c r="H173" s="58"/>
    </row>
    <row r="174" spans="7:8" ht="14.25" customHeight="1">
      <c r="G174" s="57"/>
      <c r="H174" s="58"/>
    </row>
    <row r="175" spans="7:8" ht="14.25" customHeight="1">
      <c r="G175" s="57"/>
      <c r="H175" s="58"/>
    </row>
    <row r="176" spans="7:8" ht="14.25" customHeight="1">
      <c r="G176" s="57"/>
      <c r="H176" s="58"/>
    </row>
    <row r="177" spans="7:8" ht="14.25" customHeight="1">
      <c r="G177" s="57"/>
      <c r="H177" s="58"/>
    </row>
    <row r="178" spans="7:8" ht="14.25" customHeight="1">
      <c r="G178" s="57"/>
      <c r="H178" s="58"/>
    </row>
    <row r="179" spans="7:8" ht="14.25" customHeight="1">
      <c r="G179" s="57"/>
      <c r="H179" s="58"/>
    </row>
    <row r="180" spans="7:8" ht="14.25" customHeight="1">
      <c r="G180" s="57"/>
      <c r="H180" s="58"/>
    </row>
    <row r="181" spans="7:8" ht="14.25" customHeight="1">
      <c r="G181" s="57"/>
      <c r="H181" s="58"/>
    </row>
    <row r="182" spans="7:8" ht="14.25" customHeight="1">
      <c r="G182" s="57"/>
      <c r="H182" s="58"/>
    </row>
    <row r="183" spans="7:8" ht="14.25" customHeight="1">
      <c r="G183" s="57"/>
      <c r="H183" s="58"/>
    </row>
    <row r="184" spans="7:8" ht="14.25" customHeight="1">
      <c r="G184" s="57"/>
      <c r="H184" s="58"/>
    </row>
    <row r="185" spans="7:8" ht="14.25" customHeight="1">
      <c r="G185" s="57"/>
      <c r="H185" s="58"/>
    </row>
    <row r="186" spans="7:8" ht="14.25" customHeight="1">
      <c r="G186" s="57"/>
      <c r="H186" s="58"/>
    </row>
    <row r="187" spans="7:8" ht="14.25" customHeight="1">
      <c r="G187" s="57"/>
      <c r="H187" s="58"/>
    </row>
    <row r="188" spans="7:8" ht="14.25" customHeight="1">
      <c r="G188" s="57"/>
      <c r="H188" s="58"/>
    </row>
    <row r="189" spans="7:8" ht="14.25" customHeight="1">
      <c r="G189" s="57"/>
      <c r="H189" s="58"/>
    </row>
    <row r="190" spans="7:8" ht="14.25" customHeight="1">
      <c r="G190" s="57"/>
      <c r="H190" s="58"/>
    </row>
    <row r="191" spans="7:8" ht="14.25" customHeight="1">
      <c r="G191" s="57"/>
      <c r="H191" s="58"/>
    </row>
    <row r="192" spans="7:8" ht="14.25" customHeight="1">
      <c r="G192" s="57"/>
      <c r="H192" s="58"/>
    </row>
    <row r="193" spans="7:8" ht="14.25" customHeight="1">
      <c r="G193" s="57"/>
      <c r="H193" s="58"/>
    </row>
    <row r="194" spans="7:8" ht="14.25" customHeight="1">
      <c r="G194" s="57"/>
      <c r="H194" s="58"/>
    </row>
    <row r="195" spans="7:8" ht="14.25" customHeight="1">
      <c r="G195" s="57"/>
      <c r="H195" s="58"/>
    </row>
    <row r="196" spans="7:8" ht="14.25" customHeight="1">
      <c r="G196" s="57"/>
      <c r="H196" s="58"/>
    </row>
    <row r="197" spans="7:8" ht="14.25" customHeight="1">
      <c r="G197" s="57"/>
      <c r="H197" s="58"/>
    </row>
    <row r="198" spans="7:8" ht="14.25" customHeight="1">
      <c r="G198" s="57"/>
      <c r="H198" s="58"/>
    </row>
    <row r="199" spans="7:8" ht="14.25" customHeight="1">
      <c r="G199" s="57"/>
      <c r="H199" s="58"/>
    </row>
    <row r="200" spans="7:8" ht="14.25" customHeight="1">
      <c r="G200" s="57"/>
      <c r="H200" s="58"/>
    </row>
    <row r="201" spans="7:8" ht="14.25" customHeight="1">
      <c r="G201" s="57"/>
      <c r="H201" s="58"/>
    </row>
    <row r="202" spans="7:8" ht="14.25" customHeight="1">
      <c r="G202" s="57"/>
      <c r="H202" s="58"/>
    </row>
    <row r="203" spans="7:8" ht="14.25" customHeight="1">
      <c r="G203" s="57"/>
      <c r="H203" s="58"/>
    </row>
    <row r="204" spans="7:8" ht="14.25" customHeight="1">
      <c r="G204" s="57"/>
      <c r="H204" s="58"/>
    </row>
    <row r="205" spans="7:8" ht="14.25" customHeight="1">
      <c r="G205" s="57"/>
      <c r="H205" s="58"/>
    </row>
    <row r="206" spans="7:8" ht="14.25" customHeight="1">
      <c r="G206" s="57"/>
      <c r="H206" s="58"/>
    </row>
    <row r="207" spans="7:8" ht="14.25" customHeight="1">
      <c r="G207" s="57"/>
      <c r="H207" s="58"/>
    </row>
    <row r="208" spans="7:8" ht="14.25" customHeight="1">
      <c r="G208" s="57"/>
      <c r="H208" s="58"/>
    </row>
    <row r="209" spans="7:8" ht="14.25" customHeight="1">
      <c r="G209" s="57"/>
      <c r="H209" s="58"/>
    </row>
    <row r="210" spans="7:8" ht="14.25" customHeight="1">
      <c r="G210" s="57"/>
      <c r="H210" s="58"/>
    </row>
    <row r="211" spans="7:8" ht="14.25" customHeight="1">
      <c r="G211" s="57"/>
      <c r="H211" s="58"/>
    </row>
    <row r="212" spans="7:8" ht="14.25" customHeight="1">
      <c r="G212" s="57"/>
      <c r="H212" s="58"/>
    </row>
    <row r="213" spans="7:8" ht="14.25" customHeight="1">
      <c r="G213" s="57"/>
      <c r="H213" s="58"/>
    </row>
    <row r="214" spans="7:8" ht="14.25" customHeight="1">
      <c r="G214" s="57"/>
      <c r="H214" s="58"/>
    </row>
    <row r="215" spans="7:8" ht="14.25" customHeight="1">
      <c r="G215" s="57"/>
      <c r="H215" s="58"/>
    </row>
    <row r="216" spans="7:8" ht="14.25" customHeight="1">
      <c r="G216" s="57"/>
      <c r="H216" s="58"/>
    </row>
    <row r="217" spans="7:8" ht="14.25" customHeight="1">
      <c r="G217" s="57"/>
      <c r="H217" s="58"/>
    </row>
    <row r="218" spans="7:8" ht="14.25" customHeight="1">
      <c r="G218" s="57"/>
      <c r="H218" s="58"/>
    </row>
    <row r="219" spans="7:8" ht="14.25" customHeight="1">
      <c r="G219" s="57"/>
      <c r="H219" s="58"/>
    </row>
    <row r="220" spans="7:8" ht="14.25" customHeight="1">
      <c r="G220" s="57"/>
      <c r="H220" s="58"/>
    </row>
    <row r="221" spans="7:8" ht="14.25" customHeight="1">
      <c r="G221" s="57"/>
      <c r="H221" s="58"/>
    </row>
    <row r="222" spans="7:8" ht="14.25" customHeight="1">
      <c r="G222" s="57"/>
      <c r="H222" s="58"/>
    </row>
    <row r="223" spans="7:8" ht="14.25" customHeight="1">
      <c r="G223" s="57"/>
      <c r="H223" s="58"/>
    </row>
    <row r="224" spans="7:8" ht="14.25" customHeight="1">
      <c r="G224" s="57"/>
      <c r="H224" s="58"/>
    </row>
    <row r="225" spans="7:8" ht="14.25" customHeight="1">
      <c r="G225" s="57"/>
      <c r="H225" s="58"/>
    </row>
    <row r="226" spans="7:8" ht="14.25" customHeight="1">
      <c r="G226" s="57"/>
      <c r="H226" s="58"/>
    </row>
    <row r="227" spans="7:8" ht="14.25" customHeight="1">
      <c r="G227" s="57"/>
      <c r="H227" s="58"/>
    </row>
    <row r="228" spans="7:8" ht="14.25" customHeight="1">
      <c r="G228" s="57"/>
      <c r="H228" s="58"/>
    </row>
    <row r="229" spans="7:8" ht="14.25" customHeight="1">
      <c r="G229" s="57"/>
      <c r="H229" s="58"/>
    </row>
    <row r="230" spans="7:8" ht="14.25" customHeight="1">
      <c r="G230" s="57"/>
      <c r="H230" s="58"/>
    </row>
    <row r="231" spans="7:8" ht="14.25" customHeight="1">
      <c r="G231" s="57"/>
      <c r="H231" s="58"/>
    </row>
    <row r="232" spans="7:8" ht="14.25" customHeight="1">
      <c r="G232" s="57"/>
      <c r="H232" s="58"/>
    </row>
    <row r="233" spans="7:8" ht="14.25" customHeight="1">
      <c r="G233" s="57"/>
      <c r="H233" s="58"/>
    </row>
    <row r="234" spans="7:8" ht="14.25" customHeight="1">
      <c r="G234" s="57"/>
      <c r="H234" s="58"/>
    </row>
    <row r="235" spans="7:8" ht="14.25" customHeight="1">
      <c r="G235" s="57"/>
      <c r="H235" s="58"/>
    </row>
    <row r="236" spans="7:8" ht="14.25" customHeight="1">
      <c r="G236" s="57"/>
      <c r="H236" s="58"/>
    </row>
    <row r="237" spans="7:8" ht="14.25" customHeight="1">
      <c r="G237" s="57"/>
      <c r="H237" s="58"/>
    </row>
    <row r="238" spans="7:8" ht="14.25" customHeight="1">
      <c r="G238" s="57"/>
      <c r="H238" s="58"/>
    </row>
    <row r="239" spans="7:8" ht="14.25" customHeight="1">
      <c r="G239" s="57"/>
      <c r="H239" s="58"/>
    </row>
    <row r="240" spans="7:8" ht="14.25" customHeight="1">
      <c r="G240" s="57"/>
      <c r="H240" s="58"/>
    </row>
    <row r="241" spans="7:8" ht="14.25" customHeight="1">
      <c r="G241" s="57"/>
      <c r="H241" s="58"/>
    </row>
    <row r="242" spans="7:8" ht="14.25" customHeight="1">
      <c r="G242" s="57"/>
      <c r="H242" s="58"/>
    </row>
    <row r="243" spans="7:8" ht="14.25" customHeight="1">
      <c r="G243" s="57"/>
      <c r="H243" s="58"/>
    </row>
    <row r="244" spans="7:8" ht="14.25" customHeight="1">
      <c r="G244" s="57"/>
      <c r="H244" s="58"/>
    </row>
    <row r="245" spans="7:8" ht="14.25" customHeight="1">
      <c r="G245" s="57"/>
      <c r="H245" s="58"/>
    </row>
    <row r="246" spans="7:8" ht="14.25" customHeight="1">
      <c r="G246" s="57"/>
      <c r="H246" s="58"/>
    </row>
    <row r="247" spans="7:8" ht="14.25" customHeight="1">
      <c r="G247" s="57"/>
      <c r="H247" s="58"/>
    </row>
    <row r="248" spans="7:8" ht="14.25" customHeight="1">
      <c r="G248" s="57"/>
      <c r="H248" s="58"/>
    </row>
    <row r="249" spans="7:8" ht="14.25" customHeight="1">
      <c r="G249" s="57"/>
      <c r="H249" s="58"/>
    </row>
    <row r="250" spans="7:8" ht="14.25" customHeight="1">
      <c r="G250" s="57"/>
      <c r="H250" s="58"/>
    </row>
    <row r="251" spans="7:8" ht="14.25" customHeight="1">
      <c r="G251" s="57"/>
      <c r="H251" s="58"/>
    </row>
    <row r="252" spans="7:8" ht="14.25" customHeight="1">
      <c r="G252" s="57"/>
      <c r="H252" s="58"/>
    </row>
    <row r="253" spans="7:8" ht="14.25" customHeight="1">
      <c r="G253" s="57"/>
      <c r="H253" s="58"/>
    </row>
    <row r="254" spans="7:8" ht="14.25" customHeight="1">
      <c r="G254" s="57"/>
      <c r="H254" s="58"/>
    </row>
    <row r="255" spans="7:8" ht="14.25" customHeight="1">
      <c r="G255" s="57"/>
      <c r="H255" s="58"/>
    </row>
    <row r="256" spans="7:8" ht="14.25" customHeight="1">
      <c r="G256" s="57"/>
      <c r="H256" s="58"/>
    </row>
    <row r="257" spans="7:8" ht="14.25" customHeight="1">
      <c r="G257" s="57"/>
      <c r="H257" s="58"/>
    </row>
    <row r="258" spans="7:8" ht="14.25" customHeight="1">
      <c r="G258" s="57"/>
      <c r="H258" s="58"/>
    </row>
    <row r="259" spans="7:8" ht="14.25" customHeight="1">
      <c r="G259" s="57"/>
      <c r="H259" s="58"/>
    </row>
    <row r="260" spans="7:8" ht="14.25" customHeight="1">
      <c r="G260" s="57"/>
      <c r="H260" s="58"/>
    </row>
    <row r="261" spans="7:8" ht="14.25" customHeight="1">
      <c r="G261" s="57"/>
      <c r="H261" s="58"/>
    </row>
    <row r="262" spans="7:8" ht="14.25" customHeight="1"/>
    <row r="263" spans="7:8" ht="14.25" customHeight="1"/>
    <row r="264" spans="7:8" ht="14.25" customHeight="1"/>
    <row r="265" spans="7:8" ht="14.25" customHeight="1"/>
    <row r="266" spans="7:8" ht="14.25" customHeight="1"/>
    <row r="267" spans="7:8" ht="14.25" customHeight="1"/>
    <row r="268" spans="7:8" ht="14.25" customHeight="1"/>
    <row r="269" spans="7:8" ht="14.25" customHeight="1"/>
    <row r="270" spans="7:8" ht="14.25" customHeight="1"/>
    <row r="271" spans="7:8" ht="14.25" customHeight="1"/>
    <row r="272" spans="7:8"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B5:E5"/>
    <mergeCell ref="B53:B54"/>
    <mergeCell ref="B14:B27"/>
    <mergeCell ref="D53:D54"/>
    <mergeCell ref="E53:E54"/>
    <mergeCell ref="B56:B61"/>
    <mergeCell ref="B29:E29"/>
    <mergeCell ref="B30:B49"/>
    <mergeCell ref="B55:E55"/>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Ordre de passage</vt:lpstr>
      <vt:lpstr>Participant 1</vt:lpstr>
      <vt:lpstr>Participant 2</vt:lpstr>
      <vt:lpstr>Participant 3</vt:lpstr>
      <vt:lpstr>Participant 4</vt:lpstr>
      <vt:lpstr>Participant 5</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YVES</dc:creator>
  <cp:lastModifiedBy>Annais Cam</cp:lastModifiedBy>
  <dcterms:created xsi:type="dcterms:W3CDTF">2020-03-31T15:21:21Z</dcterms:created>
  <dcterms:modified xsi:type="dcterms:W3CDTF">2026-06-06T14:43:55Z</dcterms:modified>
</cp:coreProperties>
</file>