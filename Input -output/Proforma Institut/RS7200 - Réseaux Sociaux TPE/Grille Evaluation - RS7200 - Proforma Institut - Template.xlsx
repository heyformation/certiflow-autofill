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6320" windowWidth="29040" windowHeight="15720" tabRatio="600" firstSheet="13" activeTab="0" autoFilterDateGrouping="1"/>
  </bookViews>
  <sheets>
    <sheet xmlns:r="http://schemas.openxmlformats.org/officeDocument/2006/relationships" name="Ordre de passage" sheetId="1" state="visible" r:id="rId1"/>
    <sheet xmlns:r="http://schemas.openxmlformats.org/officeDocument/2006/relationships" name="Participant 1" sheetId="2" state="visible" r:id="rId2"/>
    <sheet xmlns:r="http://schemas.openxmlformats.org/officeDocument/2006/relationships" name="Participant 2" sheetId="3" state="visible" r:id="rId3"/>
    <sheet xmlns:r="http://schemas.openxmlformats.org/officeDocument/2006/relationships" name="Participant 3" sheetId="4" state="visible" r:id="rId4"/>
    <sheet xmlns:r="http://schemas.openxmlformats.org/officeDocument/2006/relationships" name="Participant 4" sheetId="5" state="visible" r:id="rId5"/>
    <sheet xmlns:r="http://schemas.openxmlformats.org/officeDocument/2006/relationships" name="Participant 5" sheetId="6" state="visible" r:id="rId6"/>
    <sheet xmlns:r="http://schemas.openxmlformats.org/officeDocument/2006/relationships" name="Participant 6" sheetId="7" state="visible" r:id="rId7"/>
    <sheet xmlns:r="http://schemas.openxmlformats.org/officeDocument/2006/relationships" name="Participant 7" sheetId="8" state="visible" r:id="rId8"/>
  </sheets>
  <definedNames/>
  <calcPr calcId="191029" fullCalcOnLoad="1"/>
</workbook>
</file>

<file path=xl/styles.xml><?xml version="1.0" encoding="utf-8"?>
<styleSheet xmlns="http://schemas.openxmlformats.org/spreadsheetml/2006/main">
  <numFmts count="2">
    <numFmt numFmtId="164" formatCode="0.0"/>
    <numFmt numFmtId="165" formatCode="d/m/yyyy"/>
  </numFmts>
  <fonts count="26">
    <font>
      <name val="Arial"/>
      <color theme="1"/>
      <sz val="11"/>
      <scheme val="minor"/>
    </font>
    <font>
      <name val="Trebuchet MS"/>
      <b val="1"/>
      <color theme="0"/>
      <sz val="16"/>
    </font>
    <font>
      <name val="Arial"/>
      <sz val="11"/>
    </font>
    <font>
      <name val="Trebuchet MS"/>
      <color theme="1"/>
      <sz val="10"/>
    </font>
    <font>
      <name val="Trebuchet MS"/>
      <b val="1"/>
      <color theme="1"/>
      <sz val="10"/>
    </font>
    <font>
      <name val="Trebuchet MS"/>
      <b val="1"/>
      <color rgb="FFFF0000"/>
      <sz val="10"/>
    </font>
    <font>
      <name val="Arial"/>
      <color theme="1"/>
      <sz val="11"/>
    </font>
    <font>
      <name val="Trebuchet MS"/>
      <b val="1"/>
      <color theme="1"/>
      <sz val="11"/>
    </font>
    <font>
      <name val="Calibri"/>
      <color theme="1"/>
      <sz val="11"/>
    </font>
    <font>
      <name val="Trebuchet MS"/>
      <color theme="1"/>
      <sz val="11"/>
    </font>
    <font>
      <name val="Trebuchet MS"/>
      <color theme="1"/>
      <sz val="11"/>
    </font>
    <font>
      <name val="Trebuchet MS"/>
      <b val="1"/>
      <color rgb="FFFFFFFF"/>
      <sz val="19"/>
    </font>
    <font>
      <name val="Trebuchet MS"/>
      <b val="1"/>
      <color theme="1"/>
      <sz val="18"/>
    </font>
    <font>
      <name val="Trebuchet MS"/>
      <b val="1"/>
      <color theme="1"/>
      <sz val="12"/>
    </font>
    <font>
      <name val="Trebuchet MS"/>
      <b val="1"/>
      <i val="1"/>
      <color rgb="FFFF0000"/>
      <sz val="11"/>
    </font>
    <font>
      <name val="Trebuchet MS"/>
      <b val="1"/>
      <i val="1"/>
      <color theme="1"/>
      <sz val="12"/>
    </font>
    <font>
      <name val="Trebuchet MS"/>
      <color theme="1"/>
      <sz val="12"/>
    </font>
    <font>
      <name val="Trebuchet MS"/>
      <b val="1"/>
      <color theme="0"/>
      <sz val="12"/>
    </font>
    <font>
      <name val="Trebuchet MS"/>
      <b val="1"/>
      <color rgb="FFFFFFFF"/>
      <sz val="12"/>
    </font>
    <font>
      <name val="Trebuchet MS"/>
      <color theme="1"/>
      <sz val="9"/>
    </font>
    <font>
      <name val="Trebuchet MS"/>
      <b val="1"/>
      <color theme="1"/>
      <sz val="9"/>
    </font>
    <font>
      <name val="Trebuchet MS"/>
      <b val="1"/>
      <color theme="1"/>
      <sz val="14"/>
    </font>
    <font>
      <name val="Trebuchet MS"/>
      <b val="1"/>
      <color theme="0"/>
      <sz val="14"/>
    </font>
    <font>
      <name val="Trebuchet MS"/>
      <b val="1"/>
      <color rgb="FFFF0000"/>
      <sz val="11"/>
    </font>
    <font>
      <name val="Trebuchet MS"/>
      <b val="1"/>
      <color rgb="FFFFFFFF"/>
      <sz val="18"/>
    </font>
    <font>
      <name val="Trebuchet MS"/>
      <b val="1"/>
      <color theme="0"/>
      <sz val="24"/>
    </font>
  </fonts>
  <fills count="9">
    <fill>
      <patternFill/>
    </fill>
    <fill>
      <patternFill patternType="gray125"/>
    </fill>
    <fill>
      <patternFill patternType="solid">
        <fgColor rgb="FF3EB9BC"/>
        <bgColor rgb="FF3EB9BC"/>
      </patternFill>
    </fill>
    <fill>
      <patternFill patternType="solid">
        <fgColor rgb="FFFFFFFF"/>
        <bgColor rgb="FFFFFFFF"/>
      </patternFill>
    </fill>
    <fill>
      <patternFill patternType="solid">
        <fgColor rgb="FFF3F3F3"/>
        <bgColor rgb="FFF3F3F3"/>
      </patternFill>
    </fill>
    <fill>
      <patternFill patternType="solid">
        <fgColor rgb="FFFF0000"/>
        <bgColor rgb="FFFF0000"/>
      </patternFill>
    </fill>
    <fill>
      <patternFill patternType="solid">
        <fgColor rgb="FFFFC000"/>
        <bgColor rgb="FFFFC000"/>
      </patternFill>
    </fill>
    <fill>
      <patternFill patternType="solid">
        <fgColor rgb="FF757070"/>
        <bgColor rgb="FF757070"/>
      </patternFill>
    </fill>
    <fill>
      <patternFill patternType="solid">
        <fgColor theme="0"/>
        <bgColor theme="0"/>
      </patternFill>
    </fill>
  </fills>
  <borders count="13">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1">
    <xf numFmtId="0" fontId="0" fillId="0" borderId="2"/>
  </cellStyleXfs>
  <cellXfs count="123">
    <xf numFmtId="0" fontId="0" fillId="0" borderId="0" pivotButton="0" quotePrefix="0" xfId="0"/>
    <xf numFmtId="0" fontId="3" fillId="0" borderId="0" pivotButton="0" quotePrefix="0" xfId="0"/>
    <xf numFmtId="0" fontId="4" fillId="0" borderId="0" applyAlignment="1" pivotButton="0" quotePrefix="0" xfId="0">
      <alignment vertical="center"/>
    </xf>
    <xf numFmtId="0" fontId="4" fillId="0" borderId="3" applyAlignment="1" pivotButton="0" quotePrefix="0" xfId="0">
      <alignment horizontal="center" vertical="center"/>
    </xf>
    <xf numFmtId="14" fontId="4" fillId="0" borderId="3" applyAlignment="1" pivotButton="0" quotePrefix="0" xfId="0">
      <alignment horizontal="center" vertical="center" wrapText="1"/>
    </xf>
    <xf numFmtId="14" fontId="3" fillId="0" borderId="0" pivotButton="0" quotePrefix="0" xfId="0"/>
    <xf numFmtId="0" fontId="5" fillId="0" borderId="0" applyAlignment="1" pivotButton="0" quotePrefix="0" xfId="0">
      <alignment horizontal="left"/>
    </xf>
    <xf numFmtId="0" fontId="5"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horizontal="left"/>
    </xf>
    <xf numFmtId="0" fontId="5" fillId="0" borderId="0" pivotButton="0" quotePrefix="0" xfId="0"/>
    <xf numFmtId="0" fontId="4" fillId="0" borderId="3" applyAlignment="1" pivotButton="0" quotePrefix="0" xfId="0">
      <alignment horizontal="center" vertical="center" wrapText="1"/>
    </xf>
    <xf numFmtId="0" fontId="3" fillId="0" borderId="3" applyAlignment="1" pivotButton="0" quotePrefix="0" xfId="0">
      <alignment horizontal="center" vertical="center"/>
    </xf>
    <xf numFmtId="0" fontId="6" fillId="3" borderId="4" pivotButton="0" quotePrefix="0" xfId="0"/>
    <xf numFmtId="0" fontId="6" fillId="3" borderId="5" pivotButton="0" quotePrefix="0" xfId="0"/>
    <xf numFmtId="164" fontId="4" fillId="0" borderId="3" applyAlignment="1" pivotButton="0" quotePrefix="0" xfId="0">
      <alignment horizontal="center" vertical="center" wrapText="1"/>
    </xf>
    <xf numFmtId="0" fontId="3" fillId="0" borderId="3" applyAlignment="1" pivotButton="0" quotePrefix="0" xfId="0">
      <alignment horizontal="left" vertical="center" wrapText="1"/>
    </xf>
    <xf numFmtId="165" fontId="7" fillId="0" borderId="6" applyAlignment="1" pivotButton="0" quotePrefix="0" xfId="0">
      <alignment vertical="center" textRotation="45"/>
    </xf>
    <xf numFmtId="0" fontId="8" fillId="3" borderId="3" pivotButton="0" quotePrefix="0" xfId="0"/>
    <xf numFmtId="164" fontId="4" fillId="0" borderId="7" applyAlignment="1" pivotButton="0" quotePrefix="0" xfId="0">
      <alignment horizontal="center" vertical="center" wrapText="1"/>
    </xf>
    <xf numFmtId="0" fontId="6" fillId="3" borderId="8" pivotButton="0" quotePrefix="0" xfId="0"/>
    <xf numFmtId="0" fontId="6" fillId="3" borderId="9" pivotButton="0" quotePrefix="0" xfId="0"/>
    <xf numFmtId="0" fontId="8" fillId="3" borderId="8" pivotButton="0" quotePrefix="0" xfId="0"/>
    <xf numFmtId="0" fontId="8" fillId="3" borderId="10" pivotButton="0" quotePrefix="0" xfId="0"/>
    <xf numFmtId="0" fontId="6" fillId="3" borderId="3" pivotButton="0" quotePrefix="0" xfId="0"/>
    <xf numFmtId="0" fontId="6" fillId="3" borderId="0" pivotButton="0" quotePrefix="0" xfId="0"/>
    <xf numFmtId="0" fontId="6" fillId="4" borderId="3" pivotButton="0" quotePrefix="0" xfId="0"/>
    <xf numFmtId="0" fontId="8" fillId="3" borderId="3" applyAlignment="1" pivotButton="0" quotePrefix="0" xfId="0">
      <alignment wrapText="1"/>
    </xf>
    <xf numFmtId="164" fontId="4" fillId="5" borderId="3" applyAlignment="1" pivotButton="0" quotePrefix="0" xfId="0">
      <alignment horizontal="center" vertical="center" wrapText="1"/>
    </xf>
    <xf numFmtId="0" fontId="3" fillId="0" borderId="8" applyAlignment="1" pivotButton="0" quotePrefix="0" xfId="0">
      <alignment horizontal="left" vertical="center" wrapText="1"/>
    </xf>
    <xf numFmtId="0" fontId="9" fillId="0" borderId="3" applyAlignment="1" pivotButton="0" quotePrefix="0" xfId="0">
      <alignment horizontal="center"/>
    </xf>
    <xf numFmtId="0" fontId="6" fillId="6" borderId="3" pivotButton="0" quotePrefix="0" xfId="0"/>
    <xf numFmtId="0" fontId="6" fillId="0" borderId="3" pivotButton="0" quotePrefix="0" xfId="0"/>
    <xf numFmtId="0" fontId="10" fillId="0" borderId="0" pivotButton="0" quotePrefix="0" xfId="0"/>
    <xf numFmtId="0" fontId="12" fillId="0" borderId="0" applyAlignment="1" pivotButton="0" quotePrefix="0" xfId="0">
      <alignment horizontal="center" vertical="center" wrapText="1"/>
    </xf>
    <xf numFmtId="0" fontId="13" fillId="0" borderId="0" applyAlignment="1" pivotButton="0" quotePrefix="0" xfId="0">
      <alignment horizontal="center" vertical="center" wrapText="1"/>
    </xf>
    <xf numFmtId="0" fontId="13" fillId="0" borderId="0" applyAlignment="1" pivotButton="0" quotePrefix="0" xfId="0">
      <alignment horizontal="right" vertical="center" wrapText="1"/>
    </xf>
    <xf numFmtId="0" fontId="3" fillId="0" borderId="0" applyAlignment="1" pivotButton="0" quotePrefix="0" xfId="0">
      <alignment horizontal="center" vertical="center"/>
    </xf>
    <xf numFmtId="14" fontId="13" fillId="0" borderId="0" applyAlignment="1" pivotButton="0" quotePrefix="0" xfId="0">
      <alignment horizontal="left" vertical="center" wrapText="1"/>
    </xf>
    <xf numFmtId="0" fontId="14" fillId="0" borderId="0" applyAlignment="1" pivotButton="0" quotePrefix="0" xfId="0">
      <alignment horizontal="right" vertical="center" wrapText="1"/>
    </xf>
    <xf numFmtId="0" fontId="4" fillId="0" borderId="0" applyAlignment="1" pivotButton="0" quotePrefix="0" xfId="0">
      <alignment horizontal="center" vertical="center" wrapText="1"/>
    </xf>
    <xf numFmtId="0" fontId="15" fillId="0" borderId="0" applyAlignment="1" pivotButton="0" quotePrefix="0" xfId="0">
      <alignment horizontal="center" vertical="center" wrapText="1"/>
    </xf>
    <xf numFmtId="0" fontId="14" fillId="3" borderId="1" applyAlignment="1" pivotButton="0" quotePrefix="0" xfId="0">
      <alignment horizontal="right"/>
    </xf>
    <xf numFmtId="0" fontId="10" fillId="0" borderId="0" applyAlignment="1" pivotButton="0" quotePrefix="0" xfId="0">
      <alignment horizontal="center" vertical="center"/>
    </xf>
    <xf numFmtId="0" fontId="16" fillId="0" borderId="0" pivotButton="0" quotePrefix="0" xfId="0"/>
    <xf numFmtId="0" fontId="7" fillId="2" borderId="3" applyAlignment="1" pivotButton="0" quotePrefix="0" xfId="0">
      <alignment horizontal="center" vertical="center" wrapText="1"/>
    </xf>
    <xf numFmtId="0" fontId="17" fillId="2" borderId="11" applyAlignment="1" pivotButton="0" quotePrefix="0" xfId="0">
      <alignment horizontal="center" vertical="center" wrapText="1"/>
    </xf>
    <xf numFmtId="0" fontId="17" fillId="2" borderId="3" applyAlignment="1" pivotButton="0" quotePrefix="0" xfId="0">
      <alignment horizontal="center" vertical="center" wrapText="1"/>
    </xf>
    <xf numFmtId="0" fontId="18" fillId="2" borderId="3" applyAlignment="1" pivotButton="0" quotePrefix="0" xfId="0">
      <alignment horizontal="center" vertical="center" wrapText="1"/>
    </xf>
    <xf numFmtId="0" fontId="7" fillId="0" borderId="12" applyAlignment="1" pivotButton="0" quotePrefix="0" xfId="0">
      <alignment horizontal="center" vertical="center" wrapText="1"/>
    </xf>
    <xf numFmtId="0" fontId="19" fillId="0" borderId="3" applyAlignment="1" pivotButton="0" quotePrefix="0" xfId="0">
      <alignment horizontal="left" vertical="top" wrapText="1"/>
    </xf>
    <xf numFmtId="0" fontId="20" fillId="7" borderId="3" applyAlignment="1" pivotButton="0" quotePrefix="0" xfId="0">
      <alignment horizontal="left" vertical="top" wrapText="1"/>
    </xf>
    <xf numFmtId="0" fontId="21" fillId="0" borderId="7" applyAlignment="1" pivotButton="0" quotePrefix="0" xfId="0">
      <alignment horizontal="center" vertical="center" wrapText="1"/>
    </xf>
    <xf numFmtId="0" fontId="21" fillId="0" borderId="3" applyAlignment="1" pivotButton="0" quotePrefix="0" xfId="0">
      <alignment horizontal="center" vertical="center" wrapText="1"/>
    </xf>
    <xf numFmtId="0" fontId="10" fillId="0" borderId="3" applyAlignment="1" pivotButton="0" quotePrefix="0" xfId="0">
      <alignment vertical="center" wrapText="1"/>
    </xf>
    <xf numFmtId="0" fontId="22" fillId="0" borderId="0" applyAlignment="1" pivotButton="0" quotePrefix="0" xfId="0">
      <alignment horizontal="center" vertical="center" wrapText="1"/>
    </xf>
    <xf numFmtId="0" fontId="22" fillId="0" borderId="5" applyAlignment="1" pivotButton="0" quotePrefix="0" xfId="0">
      <alignment horizontal="center" vertical="center" wrapText="1"/>
    </xf>
    <xf numFmtId="164" fontId="21" fillId="6" borderId="3" applyAlignment="1" pivotButton="0" quotePrefix="0" xfId="0">
      <alignment horizontal="center" vertical="center"/>
    </xf>
    <xf numFmtId="0" fontId="13" fillId="0" borderId="0" applyAlignment="1" pivotButton="0" quotePrefix="0" xfId="0">
      <alignment horizontal="left" vertical="center" wrapText="1"/>
    </xf>
    <xf numFmtId="0" fontId="20" fillId="0" borderId="0" applyAlignment="1" pivotButton="0" quotePrefix="0" xfId="0">
      <alignment wrapText="1"/>
    </xf>
    <xf numFmtId="164" fontId="21" fillId="0" borderId="3" applyAlignment="1" pivotButton="0" quotePrefix="0" xfId="0">
      <alignment horizontal="center" vertical="center" wrapText="1"/>
    </xf>
    <xf numFmtId="0" fontId="10" fillId="0" borderId="0" applyAlignment="1" pivotButton="0" quotePrefix="0" xfId="0">
      <alignment horizontal="left"/>
    </xf>
    <xf numFmtId="0" fontId="16" fillId="0" borderId="0" applyAlignment="1" pivotButton="0" quotePrefix="0" xfId="0">
      <alignment horizontal="left" vertical="center"/>
    </xf>
    <xf numFmtId="0" fontId="23" fillId="0" borderId="0" applyAlignment="1" pivotButton="0" quotePrefix="0" xfId="0">
      <alignment horizontal="left" vertical="center" wrapText="1"/>
    </xf>
    <xf numFmtId="0" fontId="7" fillId="0" borderId="0" applyAlignment="1" pivotButton="0" quotePrefix="0" xfId="0">
      <alignment horizontal="left" vertical="center" wrapText="1"/>
    </xf>
    <xf numFmtId="0" fontId="21" fillId="0" borderId="0" applyAlignment="1" pivotButton="0" quotePrefix="0" xfId="0">
      <alignment horizontal="left" vertical="center" wrapText="1"/>
    </xf>
    <xf numFmtId="0" fontId="13" fillId="0" borderId="0" applyAlignment="1" pivotButton="0" quotePrefix="0" xfId="0">
      <alignment horizontal="left" vertical="center"/>
    </xf>
    <xf numFmtId="0" fontId="10" fillId="0" borderId="0" applyAlignment="1" pivotButton="0" quotePrefix="0" xfId="0">
      <alignment horizontal="left" vertical="center"/>
    </xf>
    <xf numFmtId="0" fontId="20" fillId="0" borderId="0" applyAlignment="1" pivotButton="0" quotePrefix="0" xfId="0">
      <alignment horizontal="left" vertical="center" wrapText="1"/>
    </xf>
    <xf numFmtId="0" fontId="7" fillId="0" borderId="0" applyAlignment="1" pivotButton="0" quotePrefix="0" xfId="0">
      <alignment horizontal="center" vertical="center" wrapText="1"/>
    </xf>
    <xf numFmtId="0" fontId="13" fillId="0" borderId="0" applyAlignment="1" pivotButton="0" quotePrefix="0" xfId="0">
      <alignment horizontal="left" vertical="top" wrapText="1"/>
    </xf>
    <xf numFmtId="14" fontId="13" fillId="0" borderId="0" applyAlignment="1" pivotButton="0" quotePrefix="0" xfId="0">
      <alignment vertical="center" wrapText="1"/>
    </xf>
    <xf numFmtId="0" fontId="4" fillId="0" borderId="0" applyAlignment="1" pivotButton="0" quotePrefix="0" xfId="0">
      <alignment horizontal="left" vertical="center" wrapText="1"/>
    </xf>
    <xf numFmtId="0" fontId="25" fillId="8" borderId="0" applyAlignment="1" pivotButton="0" quotePrefix="0" xfId="0">
      <alignment horizontal="center" vertical="center"/>
    </xf>
    <xf numFmtId="0" fontId="10" fillId="8" borderId="0" pivotButton="0" quotePrefix="0" xfId="0"/>
    <xf numFmtId="14" fontId="13" fillId="3" borderId="0" applyAlignment="1" pivotButton="0" quotePrefix="0" xfId="0">
      <alignment vertical="center" wrapText="1"/>
    </xf>
    <xf numFmtId="14" fontId="13" fillId="0" borderId="0" applyAlignment="1" pivotButton="0" quotePrefix="0" xfId="0">
      <alignment horizontal="left" vertical="top" wrapText="1"/>
    </xf>
    <xf numFmtId="0" fontId="25" fillId="0" borderId="0" applyAlignment="1" pivotButton="0" quotePrefix="0" xfId="0">
      <alignment horizontal="center" vertical="center"/>
    </xf>
    <xf numFmtId="0" fontId="20" fillId="0" borderId="0" applyAlignment="1" pivotButton="0" quotePrefix="0" xfId="0">
      <alignment horizontal="center" vertical="center" wrapText="1"/>
    </xf>
    <xf numFmtId="0" fontId="1" fillId="2" borderId="1" applyAlignment="1" pivotButton="0" quotePrefix="0" xfId="0">
      <alignment horizontal="center" vertical="center" wrapText="1"/>
    </xf>
    <xf numFmtId="0" fontId="2" fillId="0" borderId="2" pivotButton="0" quotePrefix="0" xfId="0"/>
    <xf numFmtId="0" fontId="5" fillId="0" borderId="0" applyAlignment="1" pivotButton="0" quotePrefix="0" xfId="0">
      <alignment horizontal="left"/>
    </xf>
    <xf numFmtId="0" fontId="0" fillId="0" borderId="0" pivotButton="0" quotePrefix="0" xfId="0"/>
    <xf numFmtId="0" fontId="5" fillId="0" borderId="0" applyAlignment="1" pivotButton="0" quotePrefix="0" xfId="0">
      <alignment horizontal="left" vertical="center"/>
    </xf>
    <xf numFmtId="0" fontId="13" fillId="0" borderId="0" applyAlignment="1" pivotButton="0" quotePrefix="0" xfId="0">
      <alignment horizontal="left" vertical="center"/>
    </xf>
    <xf numFmtId="0" fontId="7" fillId="0" borderId="0" applyAlignment="1" pivotButton="0" quotePrefix="0" xfId="0">
      <alignment horizontal="center" vertical="center" wrapText="1"/>
    </xf>
    <xf numFmtId="0" fontId="11" fillId="2" borderId="1" applyAlignment="1" pivotButton="0" quotePrefix="0" xfId="0">
      <alignment horizontal="center" vertical="center"/>
    </xf>
    <xf numFmtId="0" fontId="13" fillId="0" borderId="0" applyAlignment="1" pivotButton="0" quotePrefix="0" xfId="0">
      <alignment horizontal="right" vertical="center" wrapText="1"/>
    </xf>
    <xf numFmtId="0" fontId="14" fillId="0" borderId="0" applyAlignment="1" pivotButton="0" quotePrefix="0" xfId="0">
      <alignment horizontal="right" vertical="center" wrapText="1"/>
    </xf>
    <xf numFmtId="0" fontId="22" fillId="0" borderId="0" applyAlignment="1" pivotButton="0" quotePrefix="0" xfId="0">
      <alignment horizontal="center" vertical="center" wrapText="1"/>
    </xf>
    <xf numFmtId="0" fontId="13"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6" fillId="0" borderId="0" applyAlignment="1" pivotButton="0" quotePrefix="0" xfId="0">
      <alignment horizontal="center" vertical="center"/>
    </xf>
    <xf numFmtId="0" fontId="24" fillId="2" borderId="1" applyAlignment="1" pivotButton="0" quotePrefix="0" xfId="0">
      <alignment horizontal="center" vertical="center"/>
    </xf>
    <xf numFmtId="0" fontId="12" fillId="0" borderId="0" applyAlignment="1" pivotButton="0" quotePrefix="0" xfId="0">
      <alignment horizontal="center" vertical="center" wrapText="1"/>
    </xf>
    <xf numFmtId="0" fontId="14" fillId="0" borderId="0" applyAlignment="1" pivotButton="0" quotePrefix="0" xfId="0">
      <alignment horizontal="left" vertical="center" wrapText="1"/>
    </xf>
    <xf numFmtId="0" fontId="25" fillId="8" borderId="0" applyAlignment="1" pivotButton="0" quotePrefix="0" xfId="0">
      <alignment horizontal="center" vertical="center"/>
    </xf>
    <xf numFmtId="0" fontId="4" fillId="0" borderId="0" applyAlignment="1" pivotButton="0" quotePrefix="0" xfId="0">
      <alignment horizontal="center" vertical="center" wrapText="1"/>
    </xf>
    <xf numFmtId="0" fontId="13" fillId="0" borderId="0" applyAlignment="1" pivotButton="0" quotePrefix="0" xfId="0">
      <alignment horizontal="left" vertical="top" wrapText="1"/>
    </xf>
    <xf numFmtId="0" fontId="25" fillId="0" borderId="0" applyAlignment="1" pivotButton="0" quotePrefix="0" xfId="0">
      <alignment horizontal="center" vertical="center"/>
    </xf>
    <xf numFmtId="0" fontId="11" fillId="8" borderId="1" applyAlignment="1" pivotButton="0" quotePrefix="0" xfId="0">
      <alignment horizontal="center" vertical="center"/>
    </xf>
    <xf numFmtId="0" fontId="11" fillId="0" borderId="0" applyAlignment="1" pivotButton="0" quotePrefix="0" xfId="0">
      <alignment horizontal="center" vertical="center"/>
    </xf>
    <xf numFmtId="0" fontId="1" fillId="2" borderId="2" applyAlignment="1" pivotButton="0" quotePrefix="0" xfId="0">
      <alignment horizontal="center" vertical="center" wrapText="1"/>
    </xf>
    <xf numFmtId="0" fontId="5" fillId="0" borderId="2" applyAlignment="1" pivotButton="0" quotePrefix="0" xfId="0">
      <alignment horizontal="left"/>
    </xf>
    <xf numFmtId="0" fontId="5" fillId="0" borderId="2" applyAlignment="1" pivotButton="0" quotePrefix="0" xfId="0">
      <alignment horizontal="left" vertical="center"/>
    </xf>
    <xf numFmtId="0" fontId="11" fillId="2" borderId="2" applyAlignment="1" pivotButton="0" quotePrefix="0" xfId="0">
      <alignment horizontal="center" vertical="center"/>
    </xf>
    <xf numFmtId="0" fontId="13" fillId="0" borderId="2" applyAlignment="1" pivotButton="0" quotePrefix="0" xfId="0">
      <alignment horizontal="right" vertical="center" wrapText="1"/>
    </xf>
    <xf numFmtId="0" fontId="14" fillId="0" borderId="2" applyAlignment="1" pivotButton="0" quotePrefix="0" xfId="0">
      <alignment horizontal="right" vertical="center" wrapText="1"/>
    </xf>
    <xf numFmtId="0" fontId="22" fillId="0" borderId="2" applyAlignment="1" pivotButton="0" quotePrefix="0" xfId="0">
      <alignment horizontal="center" vertical="center" wrapText="1"/>
    </xf>
    <xf numFmtId="0" fontId="13" fillId="0" borderId="2" applyAlignment="1" pivotButton="0" quotePrefix="0" xfId="0">
      <alignment horizontal="left" vertical="center" wrapText="1"/>
    </xf>
    <xf numFmtId="0" fontId="23" fillId="0" borderId="2" applyAlignment="1" pivotButton="0" quotePrefix="0" xfId="0">
      <alignment horizontal="left" vertical="center" wrapText="1"/>
    </xf>
    <xf numFmtId="0" fontId="13" fillId="0" borderId="2" applyAlignment="1" pivotButton="0" quotePrefix="0" xfId="0">
      <alignment horizontal="left" vertical="center"/>
    </xf>
    <xf numFmtId="0" fontId="7" fillId="0" borderId="2" applyAlignment="1" pivotButton="0" quotePrefix="0" xfId="0">
      <alignment horizontal="center" vertical="center" wrapText="1"/>
    </xf>
    <xf numFmtId="0" fontId="24" fillId="2" borderId="2" applyAlignment="1" pivotButton="0" quotePrefix="0" xfId="0">
      <alignment horizontal="center" vertical="center"/>
    </xf>
    <xf numFmtId="0" fontId="12" fillId="0" borderId="2" applyAlignment="1" pivotButton="0" quotePrefix="0" xfId="0">
      <alignment horizontal="center" vertical="center" wrapText="1"/>
    </xf>
    <xf numFmtId="0" fontId="6" fillId="0" borderId="2" applyAlignment="1" pivotButton="0" quotePrefix="0" xfId="0">
      <alignment horizontal="center" vertical="center"/>
    </xf>
    <xf numFmtId="0" fontId="14" fillId="0" borderId="2" applyAlignment="1" pivotButton="0" quotePrefix="0" xfId="0">
      <alignment horizontal="left" vertical="center" wrapText="1"/>
    </xf>
    <xf numFmtId="0" fontId="25" fillId="8" borderId="2" applyAlignment="1" pivotButton="0" quotePrefix="0" xfId="0">
      <alignment horizontal="center" vertical="center"/>
    </xf>
    <xf numFmtId="0" fontId="25" fillId="0" borderId="2" applyAlignment="1" pivotButton="0" quotePrefix="0" xfId="0">
      <alignment horizontal="center" vertical="center"/>
    </xf>
    <xf numFmtId="0" fontId="11" fillId="8" borderId="2" applyAlignment="1" pivotButton="0" quotePrefix="0" xfId="0">
      <alignment horizontal="center" vertical="center"/>
    </xf>
    <xf numFmtId="0" fontId="4" fillId="0" borderId="2" applyAlignment="1" pivotButton="0" quotePrefix="0" xfId="0">
      <alignment horizontal="center" vertical="center" wrapText="1"/>
    </xf>
    <xf numFmtId="0" fontId="13" fillId="0" borderId="2" applyAlignment="1" pivotButton="0" quotePrefix="0" xfId="0">
      <alignment horizontal="left" vertical="top" wrapText="1"/>
    </xf>
    <xf numFmtId="0" fontId="11" fillId="0" borderId="2" applyAlignment="1" pivotButton="0" quotePrefix="0" xfId="0">
      <alignment horizontal="center" vertical="center"/>
    </xf>
  </cellXfs>
  <cellStyles count="1">
    <cellStyle name="Normal" xfId="0" builtinId="0"/>
  </cellStyles>
  <dxfs count="150">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FFC000"/>
          <bgColor rgb="FFFFC000"/>
        </patternFill>
      </fill>
    </dxf>
    <dxf>
      <fill>
        <patternFill patternType="solid">
          <fgColor rgb="FFC1E4F5"/>
          <bgColor rgb="FFC1E4F5"/>
        </patternFill>
      </fill>
    </dxf>
    <dxf>
      <fill>
        <patternFill patternType="solid">
          <fgColor rgb="FF83CAEB"/>
          <bgColor rgb="FF83CAEB"/>
        </patternFill>
      </fill>
    </dxf>
    <dxf>
      <fill>
        <patternFill patternType="solid">
          <fgColor rgb="FFC1E4F5"/>
          <bgColor rgb="FFC1E4F5"/>
        </patternFill>
      </fill>
    </dxf>
    <dxf>
      <fill>
        <patternFill patternType="solid">
          <fgColor rgb="FF83CAEB"/>
          <bgColor rgb="FF83CAEB"/>
        </patternFill>
      </fill>
    </dxf>
    <dxf>
      <fill>
        <patternFill patternType="solid">
          <fgColor rgb="FFC1E4F5"/>
          <bgColor rgb="FFC1E4F5"/>
        </patternFill>
      </fill>
    </dxf>
    <dxf>
      <fill>
        <patternFill patternType="solid">
          <fgColor rgb="FF83CAEB"/>
          <bgColor rgb="FF83CAEB"/>
        </patternFill>
      </fill>
    </dxf>
  </dxfs>
  <tableStyles count="3" defaultTableStyle="TableStyleMedium9" defaultPivotStyle="PivotStyleLight16">
    <tableStyle name="Ordre de passage-style" pivot="0" count="2">
      <tableStyleElement type="firstRowStripe" dxfId="149"/>
      <tableStyleElement type="secondRowStripe" dxfId="148"/>
    </tableStyle>
    <tableStyle name="Ordre de passage-style 2" pivot="0" count="2">
      <tableStyleElement type="firstRowStripe" dxfId="147"/>
      <tableStyleElement type="secondRowStripe" dxfId="146"/>
    </tableStyle>
    <tableStyle name="Ordre de passage-style 3" pivot="0" count="2">
      <tableStyleElement type="firstRowStripe" dxfId="145"/>
      <tableStyleElement type="secondRowStripe" dxfId="14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_rels/drawing5.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s>
</file>

<file path=xl/drawings/_rels/drawing6.xml.rels><Relationships xmlns="http://schemas.openxmlformats.org/package/2006/relationships"><Relationship Type="http://schemas.openxmlformats.org/officeDocument/2006/relationships/image" Target="/xl/media/image11.png" Id="rId1"/><Relationship Type="http://schemas.openxmlformats.org/officeDocument/2006/relationships/image" Target="/xl/media/image12.png" Id="rId2"/></Relationships>
</file>

<file path=xl/drawings/_rels/drawing7.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s>
</file>

<file path=xl/drawings/drawing1.xml><?xml version="1.0" encoding="utf-8"?>
<wsDr xmlns="http://schemas.openxmlformats.org/drawingml/2006/spreadsheetDrawing">
  <oneCellAnchor>
    <from>
      <col>0</col>
      <colOff>152400</colOff>
      <row>0</row>
      <rowOff>47625</rowOff>
    </from>
    <ext cx="2390775" cy="390525"/>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8</col>
      <colOff>647700</colOff>
      <row>20</row>
      <rowOff>152400</rowOff>
    </from>
    <ext cx="2190750" cy="895350"/>
    <pic>
      <nvPicPr>
        <cNvPr id="3" name="image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123825</colOff>
      <row>0</row>
      <rowOff>57150</rowOff>
    </from>
    <ext cx="2667000" cy="428625"/>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9</col>
      <colOff>66675</colOff>
      <row>20</row>
      <rowOff>228600</rowOff>
    </from>
    <ext cx="2190750" cy="895350"/>
    <pic>
      <nvPicPr>
        <cNvPr id="3" name="image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0</col>
      <colOff>180975</colOff>
      <row>0</row>
      <rowOff>57150</rowOff>
    </from>
    <ext cx="2676525" cy="466725"/>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8</col>
      <colOff>647700</colOff>
      <row>20</row>
      <rowOff>257175</rowOff>
    </from>
    <ext cx="2190750" cy="895350"/>
    <pic>
      <nvPicPr>
        <cNvPr id="3" name="image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0</col>
      <colOff>0</colOff>
      <row>0</row>
      <rowOff>28575</rowOff>
    </from>
    <ext cx="2562225" cy="409575"/>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8</col>
      <colOff>542925</colOff>
      <row>20</row>
      <rowOff>190500</rowOff>
    </from>
    <ext cx="2190750" cy="895350"/>
    <pic>
      <nvPicPr>
        <cNvPr id="3" name="image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5.xml><?xml version="1.0" encoding="utf-8"?>
<wsDr xmlns="http://schemas.openxmlformats.org/drawingml/2006/spreadsheetDrawing">
  <oneCellAnchor>
    <from>
      <col>0</col>
      <colOff>295275</colOff>
      <row>0</row>
      <rowOff>38100</rowOff>
    </from>
    <ext cx="2466975" cy="400050"/>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8</col>
      <colOff>666750</colOff>
      <row>20</row>
      <rowOff>152400</rowOff>
    </from>
    <ext cx="2190750" cy="895350"/>
    <pic>
      <nvPicPr>
        <cNvPr id="3" name="image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6.xml><?xml version="1.0" encoding="utf-8"?>
<wsDr xmlns="http://schemas.openxmlformats.org/drawingml/2006/spreadsheetDrawing">
  <oneCellAnchor>
    <from>
      <col>0</col>
      <colOff>0</colOff>
      <row>0</row>
      <rowOff>19050</rowOff>
    </from>
    <ext cx="2552700" cy="409575"/>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8</col>
      <colOff>581025</colOff>
      <row>20</row>
      <rowOff>161925</rowOff>
    </from>
    <ext cx="2190750" cy="895350"/>
    <pic>
      <nvPicPr>
        <cNvPr id="3" name="image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7.xml><?xml version="1.0" encoding="utf-8"?>
<wsDr xmlns="http://schemas.openxmlformats.org/drawingml/2006/spreadsheetDrawing">
  <oneCellAnchor>
    <from>
      <col>0</col>
      <colOff>0</colOff>
      <row>0</row>
      <rowOff>9525</rowOff>
    </from>
    <ext cx="2600325" cy="419100"/>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8</col>
      <colOff>504825</colOff>
      <row>20</row>
      <rowOff>123825</rowOff>
    </from>
    <ext cx="2190750" cy="895350"/>
    <pic>
      <nvPicPr>
        <cNvPr id="3" name="image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_1" displayName="Table_1" ref="B10:B21" headerRowCount="0">
  <tableColumns count="1">
    <tableColumn id="1" name="Column1"/>
  </tableColumns>
  <tableStyleInfo name="Ordre de passage-style" showFirstColumn="1" showLastColumn="1" showRowStripes="1" showColumnStripes="0"/>
</table>
</file>

<file path=xl/tables/table2.xml><?xml version="1.0" encoding="utf-8"?>
<table xmlns="http://schemas.openxmlformats.org/spreadsheetml/2006/main" id="2" name="Table_2" displayName="Table_2" ref="C10:D22" headerRowCount="0">
  <tableColumns count="2">
    <tableColumn id="1" name="Column1"/>
    <tableColumn id="2" name="Column2"/>
  </tableColumns>
  <tableStyleInfo name="Ordre de passage-style 2" showFirstColumn="1" showLastColumn="1" showRowStripes="1" showColumnStripes="0"/>
</table>
</file>

<file path=xl/tables/table3.xml><?xml version="1.0" encoding="utf-8"?>
<table xmlns="http://schemas.openxmlformats.org/spreadsheetml/2006/main" id="3" name="Table_3" displayName="Table_3" ref="C23:D29" headerRowCount="0">
  <tableColumns count="2">
    <tableColumn id="1" name="Column1"/>
    <tableColumn id="2" name="Column2"/>
  </tableColumns>
  <tableStyleInfo name="Ordre de passage-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L30"/>
  <sheetViews>
    <sheetView showGridLines="0" workbookViewId="0">
      <selection activeCell="A2" sqref="A2"/>
    </sheetView>
  </sheetViews>
  <sheetFormatPr baseColWidth="10" defaultColWidth="12.59765625" defaultRowHeight="15" customHeight="1"/>
  <cols>
    <col width="5" customWidth="1" style="82" min="1" max="1"/>
    <col width="17.5" customWidth="1" style="82" min="2" max="2"/>
    <col width="24.09765625" customWidth="1" style="82" min="3" max="4"/>
    <col width="14.3984375" customWidth="1" style="82" min="5" max="5"/>
    <col width="54.69921875" customWidth="1" style="82" min="6" max="6"/>
    <col width="54" customWidth="1" style="82" min="7" max="7"/>
    <col width="9.3984375" customWidth="1" style="82" min="8" max="25"/>
  </cols>
  <sheetData>
    <row r="1" ht="47.25" customHeight="1" s="82">
      <c r="A1" s="102" t="inlineStr">
        <is>
          <t>Grille d'évaluation - "Communiquer sur les réseaux sociaux pour promouvoir sa TPE" - RS7200</t>
        </is>
      </c>
      <c r="H1" s="1" t="n"/>
      <c r="I1" s="1" t="n"/>
      <c r="J1" s="1" t="n"/>
      <c r="K1" s="1" t="n"/>
      <c r="L1" s="1" t="n"/>
    </row>
    <row r="2" ht="14.25" customHeight="1" s="82">
      <c r="H2" s="1" t="n"/>
      <c r="I2" s="1" t="n"/>
      <c r="J2" s="1" t="n"/>
      <c r="K2" s="1" t="n"/>
      <c r="L2" s="1" t="n"/>
    </row>
    <row r="3" ht="14.25" customHeight="1" s="82">
      <c r="A3" s="1" t="n"/>
      <c r="B3" s="1" t="n"/>
      <c r="C3" s="1" t="n"/>
      <c r="D3" s="1" t="n"/>
      <c r="E3" s="1" t="n"/>
      <c r="F3" s="1" t="n"/>
      <c r="G3" s="1" t="n"/>
      <c r="H3" s="1" t="n"/>
      <c r="I3" s="1" t="n"/>
      <c r="J3" s="1" t="n"/>
      <c r="K3" s="1" t="n"/>
      <c r="L3" s="1" t="n"/>
    </row>
    <row r="4" ht="25.5" customHeight="1" s="82">
      <c r="A4" s="1" t="n"/>
      <c r="B4" s="1" t="n"/>
      <c r="C4" s="2" t="inlineStr">
        <is>
          <t>Nom et prénom des évaluateurs</t>
        </is>
      </c>
      <c r="D4" s="1" t="n"/>
      <c r="E4" s="1" t="n"/>
      <c r="F4" s="3" t="inlineStr">
        <is>
          <t>Kaina Nassim</t>
        </is>
      </c>
      <c r="G4" s="3" t="inlineStr">
        <is>
          <t>Tom FOURNAISE</t>
        </is>
      </c>
      <c r="H4" s="1" t="n"/>
      <c r="I4" s="1" t="n"/>
      <c r="J4" s="1" t="n"/>
      <c r="K4" s="1" t="n"/>
      <c r="L4" s="1" t="n"/>
    </row>
    <row r="5" ht="14.25" customHeight="1" s="82">
      <c r="A5" s="1" t="n"/>
      <c r="B5" s="1" t="n"/>
      <c r="C5" s="2" t="inlineStr">
        <is>
          <t>Date du Jury</t>
        </is>
      </c>
      <c r="D5" s="4" t="n"/>
      <c r="E5" s="5" t="n"/>
      <c r="F5" s="5" t="n"/>
      <c r="G5" s="1" t="n"/>
      <c r="H5" s="1" t="n"/>
      <c r="I5" s="1" t="n"/>
      <c r="J5" s="1" t="n"/>
      <c r="K5" s="1" t="n"/>
      <c r="L5" s="1" t="n"/>
    </row>
    <row r="6" ht="15" customHeight="1" s="82">
      <c r="A6" s="103" t="inlineStr">
        <is>
          <t>Renseigner selon l'ordre de passage, ainsi le nom et prénom est renseigné dans chaque feuille</t>
        </is>
      </c>
      <c r="G6" s="7" t="n"/>
      <c r="H6" s="8" t="n"/>
      <c r="I6" s="8" t="n"/>
      <c r="J6" s="8" t="n"/>
      <c r="K6" s="8" t="n"/>
      <c r="L6" s="8" t="n"/>
    </row>
    <row r="7" ht="6" customHeight="1" s="82">
      <c r="A7" s="81" t="n"/>
      <c r="B7" s="9" t="n"/>
      <c r="C7" s="9" t="n"/>
      <c r="D7" s="9" t="n"/>
      <c r="E7" s="9" t="n"/>
      <c r="F7" s="9" t="n"/>
      <c r="G7" s="10" t="n"/>
      <c r="H7" s="1" t="n"/>
      <c r="I7" s="1" t="n"/>
      <c r="J7" s="1" t="n"/>
      <c r="K7" s="1" t="n"/>
      <c r="L7" s="1" t="n"/>
    </row>
    <row r="8" ht="15" customHeight="1" s="82">
      <c r="A8" s="104" t="inlineStr">
        <is>
          <t>Remplir les cellules jaunes ainsi que les deux cellules grises ci-dessus (évaluateur et date)</t>
        </is>
      </c>
      <c r="G8" s="7" t="n"/>
      <c r="H8" s="8" t="n"/>
      <c r="I8" s="8" t="n"/>
      <c r="J8" s="8" t="n"/>
      <c r="K8" s="8" t="n"/>
      <c r="L8" s="8" t="n"/>
    </row>
    <row r="9" ht="24.75" customHeight="1" s="82">
      <c r="A9" s="3" t="inlineStr">
        <is>
          <t>NB</t>
        </is>
      </c>
      <c r="B9" s="11" t="inlineStr">
        <is>
          <t>Heure de passage</t>
        </is>
      </c>
      <c r="C9" s="3" t="inlineStr">
        <is>
          <t>NOM</t>
        </is>
      </c>
      <c r="D9" s="3" t="inlineStr">
        <is>
          <t>Prénom</t>
        </is>
      </c>
      <c r="E9" s="3" t="inlineStr">
        <is>
          <t>Note finale / 20</t>
        </is>
      </c>
      <c r="F9" s="3" t="inlineStr">
        <is>
          <t>Commentaires évaluateur 1</t>
        </is>
      </c>
      <c r="G9" s="3" t="inlineStr">
        <is>
          <t>Commentaires évaluateur 2</t>
        </is>
      </c>
      <c r="H9" s="1" t="n"/>
      <c r="I9" s="1" t="n"/>
      <c r="J9" s="1" t="n"/>
      <c r="K9" s="1" t="n"/>
      <c r="L9" s="1" t="n"/>
    </row>
    <row r="10" ht="36.75" customHeight="1" s="82">
      <c r="A10" s="12" t="n">
        <v>1</v>
      </c>
      <c r="B10" s="13" t="n"/>
      <c r="C10" s="13" t="n"/>
      <c r="D10" s="14" t="n"/>
      <c r="E10" s="15">
        <f>'Participant 1'!F15</f>
        <v/>
      </c>
      <c r="F10" s="16">
        <f>'Participant 1'!B21</f>
        <v/>
      </c>
      <c r="G10" s="16">
        <f>'Participant 1'!D21</f>
        <v/>
      </c>
      <c r="H10" s="17" t="n"/>
      <c r="I10" s="1" t="n"/>
      <c r="J10" s="1" t="n"/>
      <c r="K10" s="1" t="n"/>
      <c r="L10" s="1" t="n"/>
    </row>
    <row r="11" ht="33" customHeight="1" s="82">
      <c r="A11" s="12" t="n">
        <v>2</v>
      </c>
      <c r="B11" s="13" t="n"/>
      <c r="C11" s="18" t="n"/>
      <c r="D11" s="18" t="n"/>
      <c r="E11" s="19">
        <f>'Participant 2'!F15</f>
        <v/>
      </c>
      <c r="F11" s="16">
        <f>'Participant 2'!B21</f>
        <v/>
      </c>
      <c r="G11" s="16">
        <f>'Participant 2'!D21</f>
        <v/>
      </c>
      <c r="H11" s="17" t="n"/>
      <c r="I11" s="1" t="n"/>
      <c r="J11" s="1" t="n"/>
      <c r="K11" s="1" t="n"/>
      <c r="L11" s="1" t="n"/>
    </row>
    <row r="12" ht="30.75" customHeight="1" s="82">
      <c r="A12" s="12" t="n">
        <v>3</v>
      </c>
      <c r="B12" s="13" t="n"/>
      <c r="C12" s="20" t="n"/>
      <c r="D12" s="21" t="n"/>
      <c r="E12" s="15">
        <f>'Participant 3'!F15</f>
        <v/>
      </c>
      <c r="F12" s="16">
        <f>'Participant 3'!B21</f>
        <v/>
      </c>
      <c r="G12" s="16">
        <f>'Participant 3'!D21</f>
        <v/>
      </c>
      <c r="H12" s="17" t="n"/>
      <c r="I12" s="1" t="n"/>
      <c r="J12" s="1" t="n"/>
      <c r="K12" s="1" t="n"/>
      <c r="L12" s="1" t="n"/>
    </row>
    <row r="13" ht="33.75" customHeight="1" s="82">
      <c r="A13" s="12" t="n">
        <v>4</v>
      </c>
      <c r="B13" s="13" t="n"/>
      <c r="C13" s="22" t="n"/>
      <c r="D13" s="23" t="n"/>
      <c r="E13" s="15">
        <f>'Participant 4'!F15</f>
        <v/>
      </c>
      <c r="F13" s="16">
        <f>'Participant 4'!B21</f>
        <v/>
      </c>
      <c r="G13" s="16">
        <f>'Participant 4'!D21</f>
        <v/>
      </c>
      <c r="H13" s="17" t="n"/>
      <c r="I13" s="1" t="n"/>
      <c r="J13" s="1" t="n"/>
      <c r="K13" s="1" t="n"/>
      <c r="L13" s="1" t="n"/>
    </row>
    <row r="14" ht="26.25" customHeight="1" s="82">
      <c r="A14" s="12" t="n">
        <v>5</v>
      </c>
      <c r="B14" s="13" t="n"/>
      <c r="C14" s="24" t="n"/>
      <c r="D14" s="25" t="n"/>
      <c r="E14" s="15">
        <f>'Participant 5'!F15</f>
        <v/>
      </c>
      <c r="F14" s="16">
        <f>'Participant 5'!B21</f>
        <v/>
      </c>
      <c r="G14" s="16">
        <f>'Participant 5'!D21</f>
        <v/>
      </c>
      <c r="H14" s="17" t="n"/>
      <c r="I14" s="1" t="n"/>
      <c r="J14" s="1" t="n"/>
      <c r="K14" s="1" t="n"/>
      <c r="L14" s="1" t="n"/>
    </row>
    <row r="15" ht="25.5" customHeight="1" s="82">
      <c r="A15" s="12" t="n">
        <v>6</v>
      </c>
      <c r="B15" s="26" t="n"/>
      <c r="C15" s="27" t="n"/>
      <c r="D15" s="27" t="n"/>
      <c r="E15" s="15">
        <f>'Participant 6'!F15</f>
        <v/>
      </c>
      <c r="F15" s="16">
        <f>'Participant 6'!B21</f>
        <v/>
      </c>
      <c r="G15" s="16">
        <f>'Participant 6'!D21</f>
        <v/>
      </c>
      <c r="H15" s="17" t="n"/>
      <c r="I15" s="1" t="n"/>
      <c r="J15" s="1" t="n"/>
      <c r="K15" s="1" t="n"/>
      <c r="L15" s="1" t="n"/>
    </row>
    <row r="16" ht="24" customHeight="1" s="82">
      <c r="A16" s="12" t="n">
        <v>7</v>
      </c>
      <c r="B16" s="26" t="n"/>
      <c r="C16" s="24" t="n"/>
      <c r="D16" s="24" t="n"/>
      <c r="E16" s="15">
        <f>'Participant 7'!F15</f>
        <v/>
      </c>
      <c r="F16" s="16">
        <f>'Participant 7'!B21</f>
        <v/>
      </c>
      <c r="G16" s="16">
        <f>'Participant 7'!D21</f>
        <v/>
      </c>
      <c r="H16" s="17" t="n"/>
      <c r="I16" s="1" t="n"/>
      <c r="J16" s="1" t="n"/>
      <c r="K16" s="1" t="n"/>
      <c r="L16" s="1" t="n"/>
    </row>
    <row r="17" ht="22.5" customHeight="1" s="82">
      <c r="A17" s="12" t="n">
        <v>8</v>
      </c>
      <c r="B17" s="26" t="n"/>
      <c r="C17" s="24" t="n"/>
      <c r="D17" s="24" t="n"/>
      <c r="E17" s="15">
        <f>'Participant 8'!F15</f>
        <v/>
      </c>
      <c r="F17" s="16">
        <f>'Participant 8'!B21</f>
        <v/>
      </c>
      <c r="G17" s="16">
        <f>'Participant 8'!D21</f>
        <v/>
      </c>
      <c r="H17" s="17" t="n"/>
      <c r="I17" s="1" t="n"/>
      <c r="J17" s="1" t="n"/>
      <c r="K17" s="1" t="n"/>
      <c r="L17" s="1" t="n"/>
    </row>
    <row r="18" ht="21.75" customHeight="1" s="82">
      <c r="A18" s="12" t="n">
        <v>9</v>
      </c>
      <c r="B18" s="26" t="n"/>
      <c r="C18" s="24" t="n"/>
      <c r="D18" s="24" t="n"/>
      <c r="E18" s="15">
        <f>'Participant 9'!F15</f>
        <v/>
      </c>
      <c r="F18" s="16">
        <f>'Participant 9'!B21</f>
        <v/>
      </c>
      <c r="G18" s="16">
        <f>'Participant 9'!D21</f>
        <v/>
      </c>
      <c r="H18" s="17" t="n"/>
      <c r="I18" s="1" t="n"/>
      <c r="J18" s="1" t="n"/>
      <c r="K18" s="1" t="n"/>
      <c r="L18" s="1" t="n"/>
    </row>
    <row r="19" ht="25.5" customHeight="1" s="82">
      <c r="A19" s="12" t="n">
        <v>10</v>
      </c>
      <c r="B19" s="26" t="n"/>
      <c r="C19" s="24" t="n"/>
      <c r="D19" s="24" t="n"/>
      <c r="E19" s="28">
        <f>'Participant 10'!F15</f>
        <v/>
      </c>
      <c r="F19" s="29">
        <f>'Participant 10'!B21</f>
        <v/>
      </c>
      <c r="G19" s="29">
        <f>'Participant 10'!D21</f>
        <v/>
      </c>
      <c r="H19" s="17" t="n"/>
      <c r="I19" s="1" t="n"/>
      <c r="J19" s="1" t="n"/>
      <c r="K19" s="1" t="n"/>
      <c r="L19" s="1" t="n"/>
    </row>
    <row r="20" ht="25.5" customHeight="1" s="82">
      <c r="A20" s="12" t="n">
        <v>11</v>
      </c>
      <c r="B20" s="26" t="n"/>
      <c r="C20" s="24" t="n"/>
      <c r="D20" s="24" t="n"/>
      <c r="E20" s="15">
        <f>' Participant 11'!F15</f>
        <v/>
      </c>
      <c r="F20" s="16">
        <f>' Participant 11'!B21</f>
        <v/>
      </c>
      <c r="G20" s="16">
        <f>' Participant 11'!D21</f>
        <v/>
      </c>
      <c r="H20" s="17" t="n"/>
      <c r="I20" s="1" t="n"/>
      <c r="J20" s="1" t="n"/>
      <c r="K20" s="1" t="n"/>
      <c r="L20" s="1" t="n"/>
    </row>
    <row r="21" ht="21" customHeight="1" s="82">
      <c r="A21" s="12" t="n">
        <v>12</v>
      </c>
      <c r="B21" s="26" t="n"/>
      <c r="C21" s="18" t="n"/>
      <c r="D21" s="18" t="n"/>
      <c r="E21" s="15">
        <f>' Participant 12'!F15</f>
        <v/>
      </c>
      <c r="F21" s="16">
        <f>' Participant 12'!B21</f>
        <v/>
      </c>
      <c r="G21" s="16">
        <f>' Participant 12'!D21</f>
        <v/>
      </c>
      <c r="H21" s="17" t="n"/>
      <c r="I21" s="1" t="n"/>
      <c r="J21" s="1" t="n"/>
      <c r="K21" s="1" t="n"/>
      <c r="L21" s="1" t="n"/>
    </row>
    <row r="22" ht="24.75" customHeight="1" s="82">
      <c r="A22" s="12" t="n">
        <v>13</v>
      </c>
      <c r="B22" s="26" t="n"/>
      <c r="C22" s="18" t="n"/>
      <c r="D22" s="18" t="n"/>
      <c r="E22" s="15">
        <f>'Participant 13'!F15</f>
        <v/>
      </c>
      <c r="F22" s="16">
        <f>'Participant 13'!B21</f>
        <v/>
      </c>
      <c r="G22" s="16">
        <f>'Participant 13'!D21</f>
        <v/>
      </c>
      <c r="H22" s="1" t="n"/>
      <c r="I22" s="1" t="n"/>
      <c r="J22" s="1" t="n"/>
      <c r="K22" s="1" t="n"/>
      <c r="L22" s="1" t="n"/>
    </row>
    <row r="23" ht="24.75" customHeight="1" s="82">
      <c r="A23" s="12" t="n">
        <v>14</v>
      </c>
      <c r="B23" s="26" t="n"/>
      <c r="C23" s="18" t="n"/>
      <c r="D23" s="18" t="n"/>
      <c r="E23" s="15">
        <f>'Participant 14'!F15</f>
        <v/>
      </c>
      <c r="F23" s="15">
        <f>'Participant 14'!B21</f>
        <v/>
      </c>
      <c r="G23" s="16">
        <f>'Participant 14'!D21</f>
        <v/>
      </c>
      <c r="H23" s="1" t="n"/>
      <c r="I23" s="1" t="n"/>
      <c r="J23" s="1" t="n"/>
      <c r="K23" s="1" t="n"/>
      <c r="L23" s="1" t="n"/>
    </row>
    <row r="24" ht="23.25" customHeight="1" s="82">
      <c r="A24" s="30" t="n">
        <v>15</v>
      </c>
      <c r="B24" s="31" t="n"/>
      <c r="C24" s="18" t="n"/>
      <c r="D24" s="18" t="n"/>
      <c r="E24" s="28">
        <f>'Participant 15'!F15</f>
        <v/>
      </c>
      <c r="F24" s="15">
        <f>'Participant 15'!B21</f>
        <v/>
      </c>
      <c r="G24" s="32">
        <f>'Participant 15'!D21</f>
        <v/>
      </c>
      <c r="H24" s="1" t="n"/>
      <c r="I24" s="1" t="n"/>
      <c r="J24" s="1" t="n"/>
      <c r="K24" s="1" t="n"/>
      <c r="L24" s="1" t="n"/>
    </row>
    <row r="25" ht="27.75" customHeight="1" s="82">
      <c r="A25" s="30" t="n">
        <v>16</v>
      </c>
      <c r="B25" s="31" t="n"/>
      <c r="C25" s="18" t="n"/>
      <c r="D25" s="18" t="n"/>
      <c r="E25" s="28">
        <f>' Participant 16'!F15</f>
        <v/>
      </c>
      <c r="F25" s="32">
        <f>' Participant 16'!B21</f>
        <v/>
      </c>
      <c r="G25" s="32">
        <f>' Participant 16'!D21</f>
        <v/>
      </c>
      <c r="H25" s="1" t="n"/>
      <c r="I25" s="1" t="n"/>
      <c r="J25" s="1" t="n"/>
      <c r="K25" s="1" t="n"/>
      <c r="L25" s="1" t="n"/>
    </row>
    <row r="26" ht="22.5" customHeight="1" s="82">
      <c r="A26" s="30" t="n">
        <v>17</v>
      </c>
      <c r="B26" s="31" t="n"/>
      <c r="C26" s="18" t="n"/>
      <c r="D26" s="18" t="n"/>
      <c r="E26" s="15">
        <f>'Participant 17'!F15</f>
        <v/>
      </c>
      <c r="F26" s="32">
        <f>'Participant 17'!B21</f>
        <v/>
      </c>
      <c r="G26" s="32">
        <f>'Participant 17'!D21</f>
        <v/>
      </c>
      <c r="H26" s="1" t="n"/>
      <c r="I26" s="1" t="n"/>
      <c r="J26" s="1" t="n"/>
      <c r="K26" s="1" t="n"/>
      <c r="L26" s="1" t="n"/>
    </row>
    <row r="27" ht="22.5" customHeight="1" s="82">
      <c r="A27" s="30" t="n">
        <v>18</v>
      </c>
      <c r="B27" s="31" t="n"/>
      <c r="C27" s="18" t="n"/>
      <c r="D27" s="18" t="n"/>
      <c r="E27" s="15">
        <f>'Participant 18'!F15</f>
        <v/>
      </c>
      <c r="F27" s="32">
        <f>'Participant 18'!B21</f>
        <v/>
      </c>
      <c r="G27" s="32">
        <f>'Participant 18'!D21</f>
        <v/>
      </c>
      <c r="H27" s="1" t="n"/>
      <c r="I27" s="1" t="n"/>
      <c r="J27" s="1" t="n"/>
      <c r="K27" s="1" t="n"/>
      <c r="L27" s="1" t="n"/>
    </row>
    <row r="28" ht="24.75" customHeight="1" s="82">
      <c r="A28" s="30" t="n">
        <v>19</v>
      </c>
      <c r="B28" s="31" t="n"/>
      <c r="C28" s="18" t="n"/>
      <c r="D28" s="18" t="n"/>
      <c r="E28" s="15">
        <f>' Participant 19'!F15</f>
        <v/>
      </c>
      <c r="F28" s="32">
        <f>' Participant 19'!B21</f>
        <v/>
      </c>
      <c r="G28" s="32">
        <f>' Participant 19'!D21</f>
        <v/>
      </c>
      <c r="H28" s="1" t="n"/>
      <c r="I28" s="1" t="n"/>
      <c r="J28" s="1" t="n"/>
      <c r="K28" s="1" t="n"/>
      <c r="L28" s="1" t="n"/>
    </row>
    <row r="29" ht="26.25" customHeight="1" s="82">
      <c r="A29" s="30" t="n">
        <v>20</v>
      </c>
      <c r="B29" s="31" t="n"/>
      <c r="C29" s="18" t="n"/>
      <c r="D29" s="18" t="n"/>
      <c r="E29" s="15">
        <f>'Participant 20'!F15</f>
        <v/>
      </c>
      <c r="F29" s="32">
        <f>'Participant 20'!B21</f>
        <v/>
      </c>
      <c r="G29" s="32">
        <f>'Participant 20'!D21</f>
        <v/>
      </c>
      <c r="H29" s="1" t="n"/>
      <c r="I29" s="1" t="n"/>
      <c r="J29" s="1" t="n"/>
      <c r="K29" s="1" t="n"/>
      <c r="L29" s="1" t="n"/>
    </row>
    <row r="30" ht="14.25" customHeight="1" s="82">
      <c r="A30" s="1" t="n"/>
      <c r="B30" s="1" t="n"/>
      <c r="C30" s="1" t="n"/>
      <c r="D30" s="1" t="n"/>
      <c r="E30" s="1" t="n"/>
      <c r="F30" s="1" t="n"/>
      <c r="G30" s="1" t="n"/>
      <c r="H30" s="1" t="n"/>
      <c r="I30" s="1" t="n"/>
      <c r="J30" s="1" t="n"/>
      <c r="K30" s="1" t="n"/>
      <c r="L30" s="1" t="n"/>
    </row>
  </sheetData>
  <mergeCells count="3">
    <mergeCell ref="A8:F8"/>
    <mergeCell ref="A6:F6"/>
    <mergeCell ref="A1:G1"/>
  </mergeCells>
  <conditionalFormatting sqref="B10:B23 C10:D29">
    <cfRule type="containsBlanks" priority="1" dxfId="143">
      <formula>LEN(TRIM(B10))=0</formula>
    </cfRule>
  </conditionalFormatting>
  <conditionalFormatting sqref="D5">
    <cfRule type="containsBlanks" priority="2" dxfId="0">
      <formula>LEN(TRIM(D5))=0</formula>
    </cfRule>
  </conditionalFormatting>
  <conditionalFormatting sqref="E10:E29 F23:F24">
    <cfRule type="cellIs" priority="3" operator="lessThan" dxfId="3">
      <formula>10</formula>
    </cfRule>
    <cfRule type="cellIs" priority="4" operator="greaterThanOrEqual" dxfId="2">
      <formula>10</formula>
    </cfRule>
  </conditionalFormatting>
  <dataValidations count="2">
    <dataValidation sqref="B10:B14" showDropDown="0" showInputMessage="0" showErrorMessage="1" allowBlank="1" type="list">
      <formula1>"9h00,9h45,10h30,11h15,12h00,14h00,14h45,15h30,16h15,17 h 00"</formula1>
    </dataValidation>
    <dataValidation sqref="B15:B29" showDropDown="0" showInputMessage="0" showErrorMessage="1" allowBlank="1" type="list">
      <formula1>"9h00,9h45,10h30,11h15,12h00,14h00,14h45,15h30,16h15"</formula1>
    </dataValidation>
  </dataValidations>
  <pageMargins left="0.7" right="0.7" top="0.75" bottom="0.75" header="0" footer="0"/>
  <pageSetup orientation="portrait" paperSize="9"/>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2.xml><?xml version="1.0" encoding="utf-8"?>
<worksheet xmlns="http://schemas.openxmlformats.org/spreadsheetml/2006/main">
  <sheetPr>
    <outlinePr summaryBelow="1" summaryRight="1"/>
    <pageSetUpPr fitToPage="1"/>
  </sheetPr>
  <dimension ref="A1:L22"/>
  <sheetViews>
    <sheetView showGridLines="0" workbookViewId="0">
      <selection activeCell="A3" sqref="A3"/>
    </sheetView>
  </sheetViews>
  <sheetFormatPr baseColWidth="10" defaultColWidth="12.59765625" defaultRowHeight="15" customHeight="1"/>
  <cols>
    <col width="4.69921875" customWidth="1" style="82" min="1" max="1"/>
    <col width="42.8984375" customWidth="1" style="82" min="2" max="2"/>
    <col width="1.19921875" customWidth="1" style="82" min="3" max="3"/>
    <col width="43.19921875" customWidth="1" style="82" min="4" max="4"/>
    <col width="1.19921875" customWidth="1" style="82" min="5" max="5"/>
    <col width="9.09765625" customWidth="1" style="82" min="6" max="7"/>
    <col width="28.8984375" customWidth="1" style="82" min="8" max="8"/>
    <col width="9.09765625" customWidth="1" style="82" min="9" max="9"/>
    <col width="38.3984375" customWidth="1" style="82" min="10" max="10"/>
  </cols>
  <sheetData>
    <row r="1" ht="39" customHeight="1" s="82">
      <c r="K1" s="33" t="n"/>
      <c r="L1" s="33" t="n"/>
    </row>
    <row r="2" ht="45" customHeight="1" s="82">
      <c r="A2" s="105" t="inlineStr">
        <is>
          <t>Grille d'évaluation : "Communiquer sur les réseaux sociaux pour promouvoir sa TPE" - RS7200</t>
        </is>
      </c>
      <c r="K2" s="33" t="n"/>
      <c r="L2" s="33" t="n"/>
    </row>
    <row r="3" ht="12.75" customHeight="1" s="82">
      <c r="A3" s="94" t="n"/>
      <c r="B3" s="94" t="n"/>
      <c r="C3" s="94" t="n"/>
      <c r="D3" s="94" t="n"/>
      <c r="E3" s="94" t="n"/>
      <c r="F3" s="94" t="n"/>
      <c r="G3" s="94" t="n"/>
      <c r="H3" s="94" t="n"/>
      <c r="I3" s="94" t="n"/>
      <c r="J3" s="94" t="n"/>
      <c r="K3" s="33" t="n"/>
      <c r="L3" s="33" t="n"/>
    </row>
    <row r="4" ht="14.25" customHeight="1" s="82">
      <c r="A4" s="35" t="n"/>
      <c r="B4" s="87" t="inlineStr">
        <is>
          <t>Nom du candidat :</t>
        </is>
      </c>
      <c r="C4" s="37" t="n"/>
      <c r="D4" s="87">
        <f>IF('Ordre de passage'!C10="","",'Ordre de passage'!C10)</f>
        <v/>
      </c>
      <c r="E4" s="87" t="n"/>
      <c r="F4" s="106" t="inlineStr">
        <is>
          <t>Date :</t>
        </is>
      </c>
      <c r="H4" s="38">
        <f>IF('Ordre de passage'!D5="","",'Ordre de passage'!D5)</f>
        <v/>
      </c>
      <c r="I4" s="107" t="inlineStr">
        <is>
          <t>Important : renseigner les cellules de couleurs grises</t>
        </is>
      </c>
      <c r="K4" s="33" t="n"/>
      <c r="L4" s="33" t="n"/>
    </row>
    <row r="5" ht="14.25" customHeight="1" s="82">
      <c r="A5" s="35" t="n"/>
      <c r="B5" s="87" t="inlineStr">
        <is>
          <t>Prénom du candidat :</t>
        </is>
      </c>
      <c r="C5" s="97" t="n"/>
      <c r="D5" s="87">
        <f>IF('Ordre de passage'!D10="","",'Ordre de passage'!D10)</f>
        <v/>
      </c>
      <c r="E5" s="35" t="n"/>
      <c r="F5" s="35" t="n"/>
      <c r="H5" s="41" t="n"/>
      <c r="I5" s="41" t="n"/>
      <c r="J5" s="42" t="inlineStr">
        <is>
          <t>Commentaire obligatoire pour les critères que le candidat ne valide pas</t>
        </is>
      </c>
      <c r="K5" s="33" t="n"/>
      <c r="L5" s="33" t="n"/>
    </row>
    <row r="6" ht="14.25" customHeight="1" s="82">
      <c r="A6" s="43" t="n"/>
      <c r="B6" s="87" t="inlineStr">
        <is>
          <t>Heure de passage :</t>
        </is>
      </c>
      <c r="C6" s="37" t="n"/>
      <c r="D6" s="87">
        <f>IF('Ordre de passage'!B10="","",'Ordre de passage'!B10)</f>
        <v/>
      </c>
      <c r="E6" s="44" t="n"/>
      <c r="F6" s="44" t="n"/>
      <c r="G6" s="44" t="n"/>
      <c r="H6" s="44" t="n"/>
      <c r="I6" s="1" t="n"/>
      <c r="J6" s="33" t="n"/>
      <c r="K6" s="33" t="n"/>
      <c r="L6" s="33" t="n"/>
    </row>
    <row r="7" ht="39.75" customHeight="1" s="82">
      <c r="A7" s="45" t="n"/>
      <c r="B7" s="46" t="inlineStr">
        <is>
          <t>Compétences</t>
        </is>
      </c>
      <c r="C7" s="46" t="n"/>
      <c r="D7" s="46" t="inlineStr">
        <is>
          <t>Critères</t>
        </is>
      </c>
      <c r="E7" s="46" t="n"/>
      <c r="F7" s="47" t="inlineStr">
        <is>
          <t>Pts Max.</t>
        </is>
      </c>
      <c r="G7" s="48" t="inlineStr">
        <is>
          <t>Note Jury 1</t>
        </is>
      </c>
      <c r="H7" s="48" t="inlineStr">
        <is>
          <t>Commentaires Jury 1</t>
        </is>
      </c>
      <c r="I7" s="48" t="inlineStr">
        <is>
          <t>Note Jury 2</t>
        </is>
      </c>
      <c r="J7" s="48" t="inlineStr">
        <is>
          <t>Commentaires Jury 2</t>
        </is>
      </c>
      <c r="K7" s="33" t="n"/>
      <c r="L7" s="33" t="n"/>
    </row>
    <row r="8" ht="89.25" customHeight="1" s="82">
      <c r="A8" s="49" t="inlineStr">
        <is>
          <t>C1</t>
        </is>
      </c>
      <c r="B8" s="50" t="inlineStr">
        <is>
          <t>Définir une stratégie sur les réseaux sociaux, adaptée aux ressources mobilisables par la TPE et en lien avec son activité, son public cible et ses objectifs commerciaux, afin d’élaborer un plan d’action pertinent à la mesure des capacités financières et temporelles données au projet.</t>
        </is>
      </c>
      <c r="C8" s="51" t="n"/>
      <c r="D8" s="50" t="inlineStr">
        <is>
          <t>Cr1. Le plan d’action proposé par le candidat est en cohérence avec : 
- L’objectif visé
- La ou les cible(s) visée (es)
- La ou les période(s) de communication à exploiter
- Le budget alloué</t>
        </is>
      </c>
      <c r="E8" s="51" t="n"/>
      <c r="F8" s="52" t="n">
        <v>4</v>
      </c>
      <c r="G8" s="53" t="n"/>
      <c r="H8" s="54" t="n"/>
      <c r="I8" s="53" t="n"/>
      <c r="J8" s="54" t="n"/>
      <c r="K8" s="33" t="n"/>
      <c r="L8" s="33" t="n"/>
    </row>
    <row r="9" ht="77.25" customHeight="1" s="82">
      <c r="A9" s="49" t="inlineStr">
        <is>
          <t>C2</t>
        </is>
      </c>
      <c r="B9" s="50" t="inlineStr">
        <is>
          <t>Identifier la ou les plateforme(s) de réseaux sociaux en comparant leurs positionnements sur le marché, en s’assurant de leur correspondance avec son public cible et en prenant en compte les pratiques de la concurrence afin d’identifier les bonnes communautés.</t>
        </is>
      </c>
      <c r="C9" s="51" t="n"/>
      <c r="D9" s="50" t="inlineStr">
        <is>
          <t>Cr2. L’analyse de marché primaire réalisée permet de vérifier que le public visé correspond à la cible du produit / ou services et permet d’identifier le bon positionnement par rapport à la concurrence donnant l’avantage concurrentiel.</t>
        </is>
      </c>
      <c r="E9" s="51" t="n"/>
      <c r="F9" s="52" t="n">
        <v>3</v>
      </c>
      <c r="G9" s="53" t="n"/>
      <c r="H9" s="54" t="n"/>
      <c r="I9" s="53" t="n"/>
      <c r="J9" s="54" t="n"/>
      <c r="K9" s="33" t="n"/>
      <c r="L9" s="33" t="n"/>
    </row>
    <row r="10" ht="159.75" customHeight="1" s="82">
      <c r="A10" s="49" t="inlineStr">
        <is>
          <t>C3</t>
        </is>
      </c>
      <c r="B10" s="50" t="inlineStr">
        <is>
          <t>Créer et concevoir une page de présentation de son entreprise TPE sur les réseaux sociaux choisis, en intégrant les éléments de nom et d’identité visuelle pour l’ancrer dans le réseau social.</t>
        </is>
      </c>
      <c r="C10" s="51" t="n"/>
      <c r="D10" s="50" t="inlineStr">
        <is>
          <t>Cr3.1. Le modèle du profil dirigeant conçu par le candidat respecte le nom et l’identité visuelle du projet d’entreprise et est adapté dans son format aux normes et usages du réseau social.
Cr3.2. La page professionnelle du candidat :
- Est complétée et paramétrée sur le réseau social choisi
- Présente des contenus multimédias de qualité et harmonieux
- Prend en compte les situations de handicap (plan d’accès, mode de contact)</t>
        </is>
      </c>
      <c r="E10" s="51" t="n"/>
      <c r="F10" s="52" t="n">
        <v>3</v>
      </c>
      <c r="G10" s="53" t="n"/>
      <c r="H10" s="54" t="n"/>
      <c r="I10" s="53" t="n"/>
      <c r="J10" s="54" t="n"/>
      <c r="K10" s="33" t="n"/>
      <c r="L10" s="33" t="n"/>
    </row>
    <row r="11" ht="75.75" customHeight="1" s="82">
      <c r="A11" s="49" t="inlineStr">
        <is>
          <t>C4</t>
        </is>
      </c>
      <c r="B11" s="50" t="inlineStr">
        <is>
          <t>Elaborer une stratégie éditoriale en tenant compte des spécificités propres à la TPE (objectifs qualitatifs, quantitatifs et temporels) afin d’établir un planning d’actions et ainsi organiser une régularité dans la ligne éditoriale.</t>
        </is>
      </c>
      <c r="C11" s="51" t="n"/>
      <c r="D11" s="50" t="inlineStr">
        <is>
          <t>Cr4. Le planning est élaboré de façon à permettre une régularité et un rythme dans les objectifs de publication de promotion de l’activité produits et/ou services.</t>
        </is>
      </c>
      <c r="E11" s="51" t="n"/>
      <c r="F11" s="52" t="n">
        <v>4</v>
      </c>
      <c r="G11" s="53" t="n"/>
      <c r="H11" s="54" t="n"/>
      <c r="I11" s="53" t="n"/>
      <c r="J11" s="54" t="n"/>
      <c r="K11" s="33" t="n"/>
      <c r="L11" s="33" t="n"/>
    </row>
    <row r="12" ht="117" customHeight="1" s="82">
      <c r="A12" s="49" t="inlineStr">
        <is>
          <t>C5</t>
        </is>
      </c>
      <c r="B12" s="50" t="inlineStr">
        <is>
          <t>Animer la page de son entreprise TPE en publiant des posts (du contenu commercial, des informations sur les produits et sur l’entreprise, du contenu multimédia) en apportant des adaptations en fonction des différentes situations de handicap qui peuvent être prises en compte (sous-titrage par exemple) et en utilisant un ton en correspondance avec la communauté visée afin de générer des actions, des réactions ou des interactions du(des) public(s) visé(s).</t>
        </is>
      </c>
      <c r="C12" s="51" t="n"/>
      <c r="D12" s="50" t="inlineStr">
        <is>
          <t>Cr5. La publication est correctement rédigée : 
- Le ton employé est dans l’esprit du réseau social concerné
- La thématique choisie est en cohérence avec le projet de promotion des produits et/ou services de l’entreprise</t>
        </is>
      </c>
      <c r="E12" s="51" t="n"/>
      <c r="F12" s="52" t="n">
        <v>3</v>
      </c>
      <c r="G12" s="53" t="n"/>
      <c r="H12" s="54" t="n"/>
      <c r="I12" s="53" t="n"/>
      <c r="J12" s="54" t="n"/>
      <c r="K12" s="33" t="n"/>
      <c r="L12" s="33" t="n"/>
    </row>
    <row r="13" ht="185.25" customHeight="1" s="82">
      <c r="A13" s="49" t="inlineStr">
        <is>
          <t>C6</t>
        </is>
      </c>
      <c r="B13" s="50" t="inlineStr">
        <is>
          <t>Cultiver la e-réputation de son entreprise TPE en mettant en place des actions publicitaires sur le réseau social concerné, en répondant aux avis, commentaires et critiques publiés par la communauté dans la page de l’entreprise, en sélectionnant des e-influenceurs et en suivant les données transmises par le réseau social concerné afin d’attirer davantage de public(s) visé(s) et d’optimiser la performance de ses publications</t>
        </is>
      </c>
      <c r="C13" s="51" t="n"/>
      <c r="D13" s="50" t="inlineStr">
        <is>
          <t>Cr6.1. Le candidat réalise correctement la campagne publicitaire sur l’outil de création de campagne du réseau social. Le candidat remplit les champs nécessaires en restant aligné avec : 
- La cible prédéfinie
- Les informations relatives à l’entreprise
- Le budget
- La date de lancement de la campagne
- Le contenu de la publication 
Cr6.2. Le candidat tient compte des potentielles situations de handicap des membres de sa communauté dans ses réponses.</t>
        </is>
      </c>
      <c r="E13" s="51" t="n"/>
      <c r="F13" s="52" t="n">
        <v>3</v>
      </c>
      <c r="G13" s="53" t="n"/>
      <c r="H13" s="54" t="n"/>
      <c r="I13" s="53" t="n"/>
      <c r="J13" s="54" t="n"/>
      <c r="K13" s="33" t="n"/>
      <c r="L13" s="33" t="n"/>
    </row>
    <row r="14" ht="27.75" customHeight="1" s="82">
      <c r="A14" s="108" t="inlineStr">
        <is>
          <t>TOTAL  (note sur 60)</t>
        </is>
      </c>
      <c r="E14" s="89" t="n"/>
      <c r="F14" s="56">
        <f>SUM(F8:F13)</f>
        <v/>
      </c>
      <c r="G14" s="57">
        <f>SUM(G8:G13)</f>
        <v/>
      </c>
      <c r="H14" s="33" t="n"/>
      <c r="I14" s="57">
        <f>SUM(I8:I13)</f>
        <v/>
      </c>
      <c r="J14" s="33" t="n"/>
      <c r="K14" s="33" t="n"/>
      <c r="L14" s="33" t="n"/>
    </row>
    <row r="15" ht="33.75" customHeight="1" s="82">
      <c r="A15" s="43" t="n"/>
      <c r="B15" s="109" t="inlineStr">
        <is>
          <t>L’obtention d’une note minimale de 10/20 permet la validation du parcours
(attention, la moyenne est calculée pour 3 jurés, à changer si uniquement 2 membres)</t>
        </is>
      </c>
      <c r="E15" s="59" t="n"/>
      <c r="F15" s="60">
        <f>(G14+I14)/2</f>
        <v/>
      </c>
      <c r="G15" s="61" t="n"/>
      <c r="H15" s="61" t="n"/>
      <c r="I15" s="33" t="n"/>
      <c r="J15" s="33" t="n"/>
      <c r="K15" s="33" t="n"/>
      <c r="L15" s="33" t="n"/>
    </row>
    <row r="16" ht="24.75" customHeight="1" s="82">
      <c r="A16" s="43" t="n"/>
      <c r="C16" s="62" t="n"/>
      <c r="D16" s="62" t="n"/>
      <c r="E16" s="91" t="n"/>
      <c r="F16" s="110" t="inlineStr">
        <is>
          <t>Note finale</t>
        </is>
      </c>
      <c r="H16" s="61" t="n"/>
      <c r="I16" s="33" t="n"/>
      <c r="J16" s="33" t="n"/>
      <c r="K16" s="33" t="n"/>
      <c r="L16" s="33" t="n"/>
    </row>
    <row r="17" ht="27" customHeight="1" s="82">
      <c r="A17" s="43" t="n"/>
      <c r="B17" s="62" t="inlineStr">
        <is>
          <t>Nom et prénom des évaluateurs</t>
        </is>
      </c>
      <c r="C17" s="62" t="n"/>
      <c r="G17" s="64" t="n"/>
      <c r="H17" s="64" t="n"/>
      <c r="I17" s="33" t="n"/>
      <c r="J17" s="33" t="n"/>
      <c r="K17" s="33" t="n"/>
      <c r="L17" s="33" t="n"/>
    </row>
    <row r="18" ht="27.75" customHeight="1" s="82">
      <c r="A18" s="43" t="n"/>
      <c r="B18" s="90">
        <f>'Ordre de passage'!F4</f>
        <v/>
      </c>
      <c r="D18" s="90">
        <f>'Ordre de passage'!G4</f>
        <v/>
      </c>
      <c r="E18" s="90" t="n"/>
      <c r="F18" s="109" t="n"/>
      <c r="I18" s="33" t="n"/>
      <c r="J18" s="33" t="n"/>
      <c r="K18" s="33" t="n"/>
      <c r="L18" s="33" t="n"/>
    </row>
    <row r="19" ht="8.25" customHeight="1" s="82">
      <c r="A19" s="43" t="n"/>
      <c r="E19" s="65" t="n"/>
      <c r="F19" s="65" t="n"/>
      <c r="G19" s="65" t="n"/>
      <c r="H19" s="65" t="n"/>
      <c r="I19" s="33" t="n"/>
      <c r="J19" s="33" t="n"/>
      <c r="K19" s="33" t="n"/>
      <c r="L19" s="33" t="n"/>
    </row>
    <row r="20" ht="25.5" customHeight="1" s="82">
      <c r="A20" s="43" t="n"/>
      <c r="B20" s="84" t="inlineStr">
        <is>
          <t>Appréciation générale Jury 1</t>
        </is>
      </c>
      <c r="C20" s="67" t="n"/>
      <c r="D20" s="84" t="inlineStr">
        <is>
          <t>Appréciation générale Jury 2</t>
        </is>
      </c>
      <c r="E20" s="84" t="n"/>
      <c r="F20" s="111" t="n"/>
      <c r="I20" s="33" t="n"/>
      <c r="J20" s="84" t="n"/>
      <c r="K20" s="33" t="n"/>
      <c r="L20" s="33" t="n"/>
    </row>
    <row r="21" ht="169.5" customHeight="1" s="82">
      <c r="A21" s="43" t="n"/>
      <c r="B21" s="97" t="n"/>
      <c r="C21" s="43" t="n"/>
      <c r="D21" s="68" t="n"/>
      <c r="E21" s="43" t="n"/>
      <c r="F21" s="112" t="n"/>
      <c r="I21" s="33" t="n"/>
      <c r="J21" s="98" t="inlineStr">
        <is>
          <t xml:space="preserve">Signature de l'organisme </t>
        </is>
      </c>
      <c r="K21" s="33" t="n"/>
      <c r="L21" s="33" t="n"/>
    </row>
    <row r="22" ht="14.25" customHeight="1" s="82">
      <c r="A22" s="43" t="n"/>
      <c r="C22" s="67" t="n"/>
      <c r="E22" s="65" t="n"/>
      <c r="I22" s="33" t="n"/>
      <c r="K22" s="33" t="n"/>
      <c r="L22" s="33" t="n"/>
    </row>
  </sheetData>
  <mergeCells count="9">
    <mergeCell ref="F20:H20"/>
    <mergeCell ref="F4:G4"/>
    <mergeCell ref="I4:J4"/>
    <mergeCell ref="F18:H18"/>
    <mergeCell ref="F16:G16"/>
    <mergeCell ref="A2:J2"/>
    <mergeCell ref="B15:D15"/>
    <mergeCell ref="F21:H21"/>
    <mergeCell ref="A14:D14"/>
  </mergeCells>
  <conditionalFormatting sqref="B18 D18">
    <cfRule type="containsBlanks" priority="1" dxfId="0">
      <formula>LEN(TRIM(B18))=0</formula>
    </cfRule>
  </conditionalFormatting>
  <conditionalFormatting sqref="B21 D21">
    <cfRule type="containsBlanks" priority="2" dxfId="0">
      <formula>LEN(TRIM(B21))=0</formula>
    </cfRule>
  </conditionalFormatting>
  <conditionalFormatting sqref="D4:D6">
    <cfRule type="containsBlanks" priority="3" dxfId="0">
      <formula>LEN(TRIM(D4))=0</formula>
    </cfRule>
  </conditionalFormatting>
  <conditionalFormatting sqref="F15">
    <cfRule type="cellIs" priority="4" operator="lessThan" dxfId="3">
      <formula>10</formula>
    </cfRule>
    <cfRule type="cellIs" priority="5" operator="greaterThanOrEqual" dxfId="2">
      <formula>10</formula>
    </cfRule>
  </conditionalFormatting>
  <conditionalFormatting sqref="G8:J13">
    <cfRule type="containsBlanks" priority="6" dxfId="0">
      <formula>LEN(TRIM(G8))=0</formula>
    </cfRule>
  </conditionalFormatting>
  <conditionalFormatting sqref="H4">
    <cfRule type="containsBlanks" priority="7" dxfId="0">
      <formula>LEN(TRIM(H4))=0</formula>
    </cfRule>
  </conditionalFormatting>
  <printOptions horizontalCentered="1"/>
  <pageMargins left="0.3149606299212598" right="0.3149606299212598" top="0.213452234133384" bottom="0.3543307086614174"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22"/>
  <sheetViews>
    <sheetView showGridLines="0" workbookViewId="0">
      <selection activeCell="A3" sqref="A3:J3"/>
    </sheetView>
  </sheetViews>
  <sheetFormatPr baseColWidth="10" defaultColWidth="12.59765625" defaultRowHeight="15" customHeight="1"/>
  <cols>
    <col width="4.69921875" customWidth="1" style="82" min="1" max="1"/>
    <col width="42.8984375" customWidth="1" style="82" min="2" max="2"/>
    <col width="1.19921875" customWidth="1" style="82" min="3" max="3"/>
    <col width="43.19921875" customWidth="1" style="82" min="4" max="4"/>
    <col width="1.19921875" customWidth="1" style="82" min="5" max="5"/>
    <col width="9.09765625" customWidth="1" style="82" min="6" max="7"/>
    <col width="28.8984375" customWidth="1" style="82" min="8" max="8"/>
    <col width="9.09765625" customWidth="1" style="82" min="9" max="9"/>
    <col width="38.09765625" customWidth="1" style="82" min="10" max="10"/>
  </cols>
  <sheetData>
    <row r="1" ht="45.75" customHeight="1" s="82">
      <c r="K1" s="33" t="n"/>
      <c r="L1" s="33" t="n"/>
    </row>
    <row r="2" ht="42" customHeight="1" s="82">
      <c r="A2" s="113" t="inlineStr">
        <is>
          <t>Grille d'évaluation : "Communiquer sur les réseaux sociaux pour promouvoir sa TPE" - RS7200</t>
        </is>
      </c>
      <c r="K2" s="33" t="n"/>
      <c r="L2" s="33" t="n"/>
    </row>
    <row r="3" ht="18.75" customHeight="1" s="82">
      <c r="A3" s="114" t="n"/>
      <c r="K3" s="33" t="n"/>
      <c r="L3" s="33" t="n"/>
    </row>
    <row r="4" ht="14.25" customHeight="1" s="82">
      <c r="A4" s="35" t="n"/>
      <c r="B4" s="87" t="inlineStr">
        <is>
          <t>Nom du candidat :</t>
        </is>
      </c>
      <c r="C4" s="37" t="n"/>
      <c r="D4" s="87">
        <f>IF('Ordre de passage'!C11="","",'Ordre de passage'!C11)</f>
        <v/>
      </c>
      <c r="E4" s="87" t="n"/>
      <c r="F4" s="106" t="inlineStr">
        <is>
          <t>Date :</t>
        </is>
      </c>
      <c r="H4" s="38">
        <f>IF('Ordre de passage'!D5="","",'Ordre de passage'!D5)</f>
        <v/>
      </c>
      <c r="I4" s="107" t="inlineStr">
        <is>
          <t>Important : renseigner les cellules de couleurs grises</t>
        </is>
      </c>
      <c r="K4" s="33" t="n"/>
      <c r="L4" s="33" t="n"/>
    </row>
    <row r="5" ht="14.25" customHeight="1" s="82">
      <c r="A5" s="35" t="n"/>
      <c r="B5" s="87" t="inlineStr">
        <is>
          <t>Prénom du candidat :</t>
        </is>
      </c>
      <c r="C5" s="97" t="n"/>
      <c r="D5" s="87">
        <f>IF('Ordre de passage'!D11="","",'Ordre de passage'!D11)</f>
        <v/>
      </c>
      <c r="E5" s="35" t="n"/>
      <c r="F5" s="35" t="n"/>
      <c r="H5" s="41" t="n"/>
      <c r="I5" s="41" t="n"/>
      <c r="J5" s="42" t="inlineStr">
        <is>
          <t>Commentaire obligatoire pour les critères que le candidat ne valide pas</t>
        </is>
      </c>
      <c r="K5" s="33" t="n"/>
      <c r="L5" s="33" t="n"/>
    </row>
    <row r="6" ht="14.25" customHeight="1" s="82">
      <c r="A6" s="43" t="n"/>
      <c r="B6" s="87" t="inlineStr">
        <is>
          <t>Heure de passage :</t>
        </is>
      </c>
      <c r="C6" s="37" t="n"/>
      <c r="D6" s="87">
        <f>IF('Ordre de passage'!B11="","",'Ordre de passage'!B11)</f>
        <v/>
      </c>
      <c r="E6" s="44" t="n"/>
      <c r="F6" s="44" t="n"/>
      <c r="G6" s="44" t="n"/>
      <c r="H6" s="44" t="n"/>
      <c r="I6" s="1" t="n"/>
      <c r="J6" s="33" t="n"/>
      <c r="K6" s="33" t="n"/>
      <c r="L6" s="33" t="n"/>
    </row>
    <row r="7" ht="39.75" customHeight="1" s="82">
      <c r="A7" s="45" t="n"/>
      <c r="B7" s="46" t="inlineStr">
        <is>
          <t>Compétences</t>
        </is>
      </c>
      <c r="C7" s="46" t="n"/>
      <c r="D7" s="46" t="inlineStr">
        <is>
          <t>Critères</t>
        </is>
      </c>
      <c r="E7" s="46" t="n"/>
      <c r="F7" s="47" t="inlineStr">
        <is>
          <t>Pts Max.</t>
        </is>
      </c>
      <c r="G7" s="48" t="inlineStr">
        <is>
          <t>Note Jury 1</t>
        </is>
      </c>
      <c r="H7" s="48" t="inlineStr">
        <is>
          <t>Commentaires Jury 1</t>
        </is>
      </c>
      <c r="I7" s="48" t="inlineStr">
        <is>
          <t>Note Jury 2</t>
        </is>
      </c>
      <c r="J7" s="48" t="inlineStr">
        <is>
          <t>Commentaires Jury 2</t>
        </is>
      </c>
      <c r="K7" s="33" t="n"/>
      <c r="L7" s="33" t="n"/>
    </row>
    <row r="8" ht="89.25" customHeight="1" s="82">
      <c r="A8" s="49" t="inlineStr">
        <is>
          <t>C1</t>
        </is>
      </c>
      <c r="B8" s="50" t="inlineStr">
        <is>
          <t>Définir une stratégie sur les réseaux sociaux, adaptée aux ressources mobilisables par la TPE et en lien avec son activité, son public cible et ses objectifs commerciaux, afin d’élaborer un plan d’action pertinent à la mesure des capacités financières et temporelles données au projet.</t>
        </is>
      </c>
      <c r="C8" s="51" t="n"/>
      <c r="D8" s="50" t="inlineStr">
        <is>
          <t>Cr1. Le plan d’action proposé par le candidat est en cohérence avec : 
- L’objectif visé
- La ou les cible(s) visée (es)
- La ou les période(s) de communication à exploiter
- Le budget alloué</t>
        </is>
      </c>
      <c r="E8" s="51" t="n"/>
      <c r="F8" s="52" t="n">
        <v>4</v>
      </c>
      <c r="G8" s="53" t="n"/>
      <c r="H8" s="54" t="n"/>
      <c r="I8" s="53" t="n"/>
      <c r="J8" s="54" t="n"/>
      <c r="K8" s="33" t="n"/>
      <c r="L8" s="33" t="n"/>
    </row>
    <row r="9" ht="77.25" customHeight="1" s="82">
      <c r="A9" s="49" t="inlineStr">
        <is>
          <t>C2</t>
        </is>
      </c>
      <c r="B9" s="50" t="inlineStr">
        <is>
          <t>Identifier la ou les plateforme(s) de réseaux sociaux en comparant leurs positionnements sur le marché, en s’assurant de leur correspondance avec son public cible et en prenant en compte les pratiques de la concurrence afin d’identifier les bonnes communautés.</t>
        </is>
      </c>
      <c r="C9" s="51" t="n"/>
      <c r="D9" s="50" t="inlineStr">
        <is>
          <t>Cr2. L’analyse de marché primaire réalisée permet de vérifier que le public visé correspond à la cible du produit / ou services et permet d’identifier le bon positionnement par rapport à la concurrence donnant l’avantage concurrentiel.</t>
        </is>
      </c>
      <c r="E9" s="51" t="n"/>
      <c r="F9" s="52" t="n">
        <v>3</v>
      </c>
      <c r="G9" s="53" t="n"/>
      <c r="H9" s="54" t="n"/>
      <c r="I9" s="53" t="n"/>
      <c r="J9" s="54" t="n"/>
      <c r="K9" s="33" t="n"/>
      <c r="L9" s="33" t="n"/>
    </row>
    <row r="10" ht="159.75" customHeight="1" s="82">
      <c r="A10" s="49" t="inlineStr">
        <is>
          <t>C3</t>
        </is>
      </c>
      <c r="B10" s="50" t="inlineStr">
        <is>
          <t>Créer et concevoir une page de présentation de son entreprise TPE sur les réseaux sociaux choisis, en intégrant les éléments de nom et d’identité visuelle pour l’ancrer dans le réseau social.</t>
        </is>
      </c>
      <c r="C10" s="51" t="n"/>
      <c r="D10" s="50" t="inlineStr">
        <is>
          <t>Cr3.1. Le modèle du profil dirigeant conçu par le candidat respecte le nom et l’identité visuelle du projet d’entreprise et est adapté dans son format aux normes et usages du réseau social.
Cr3.2. La page professionnelle du candidat :
- Est complétée et paramétrée sur le réseau social choisi
- Présente des contenus multimédias de qualité et harmonieux
- Prend en compte les situations de handicap (plan d’accès, mode de contact)</t>
        </is>
      </c>
      <c r="E10" s="51" t="n"/>
      <c r="F10" s="52" t="n">
        <v>3</v>
      </c>
      <c r="G10" s="53" t="n"/>
      <c r="H10" s="54" t="n"/>
      <c r="I10" s="53" t="n"/>
      <c r="J10" s="54" t="n"/>
      <c r="K10" s="33" t="n"/>
      <c r="L10" s="33" t="n"/>
    </row>
    <row r="11" ht="75.75" customHeight="1" s="82">
      <c r="A11" s="49" t="inlineStr">
        <is>
          <t>C4</t>
        </is>
      </c>
      <c r="B11" s="50" t="inlineStr">
        <is>
          <t>Elaborer une stratégie éditoriale en tenant compte des spécificités propres à la TPE (objectifs qualitatifs, quantitatifs et temporels) afin d’établir un planning d’actions et ainsi organiser une régularité dans la ligne éditoriale.</t>
        </is>
      </c>
      <c r="C11" s="51" t="n"/>
      <c r="D11" s="50" t="inlineStr">
        <is>
          <t>Cr4. Le planning est élaboré de façon à permettre une régularité et un rythme dans les objectifs de publication de promotion de l’activité produits et/ou services.</t>
        </is>
      </c>
      <c r="E11" s="51" t="n"/>
      <c r="F11" s="52" t="n">
        <v>4</v>
      </c>
      <c r="G11" s="53" t="n"/>
      <c r="H11" s="54" t="n"/>
      <c r="I11" s="53" t="n"/>
      <c r="J11" s="54" t="n"/>
      <c r="K11" s="33" t="n"/>
      <c r="L11" s="33" t="n"/>
    </row>
    <row r="12" ht="117" customHeight="1" s="82">
      <c r="A12" s="49" t="inlineStr">
        <is>
          <t>C5</t>
        </is>
      </c>
      <c r="B12" s="50" t="inlineStr">
        <is>
          <t>Animer la page de son entreprise TPE en publiant des posts (du contenu commercial, des informations sur les produits et sur l’entreprise, du contenu multimédia) en apportant des adaptations en fonction des différentes situations de handicap qui peuvent être prises en compte (sous-titrage par exemple) et en utilisant un ton en correspondance avec la communauté visée afin de générer des actions, des réactions ou des interactions du(des) public(s) visé(s).</t>
        </is>
      </c>
      <c r="C12" s="51" t="n"/>
      <c r="D12" s="50" t="inlineStr">
        <is>
          <t>Cr5. La publication est correctement rédigée : 
- Le ton employé est dans l’esprit du réseau social concerné
- La thématique choisie est en cohérence avec le projet de promotion des produits et/ou services de l’entreprise</t>
        </is>
      </c>
      <c r="E12" s="51" t="n"/>
      <c r="F12" s="52" t="n">
        <v>3</v>
      </c>
      <c r="G12" s="53" t="n"/>
      <c r="H12" s="54" t="n"/>
      <c r="I12" s="53" t="n"/>
      <c r="J12" s="54" t="n"/>
      <c r="K12" s="33" t="n"/>
      <c r="L12" s="33" t="n"/>
    </row>
    <row r="13" ht="185.25" customHeight="1" s="82">
      <c r="A13" s="49" t="inlineStr">
        <is>
          <t>C6</t>
        </is>
      </c>
      <c r="B13" s="50" t="inlineStr">
        <is>
          <t>Cultiver la e-réputation de son entreprise TPE en mettant en place des actions publicitaires sur le réseau social concerné, en répondant aux avis, commentaires et critiques publiés par la communauté dans la page de l’entreprise, en sélectionnant des e-influenceurs et en suivant les données transmises par le réseau social concerné afin d’attirer davantage de public(s) visé(s) et d’optimiser la performance de ses publications</t>
        </is>
      </c>
      <c r="C13" s="51" t="n"/>
      <c r="D13" s="50" t="inlineStr">
        <is>
          <t>Cr6.1. Le candidat réalise correctement la campagne publicitaire sur l’outil de création de campagne du réseau social. Le candidat remplit les champs nécessaires en restant aligné avec : 
- La cible prédéfinie
- Les informations relatives à l’entreprise
- Le budget
- La date de lancement de la campagne
- Le contenu de la publication 
Cr6.2. Le candidat tient compte des potentielles situations de handicap des membres de sa communauté dans ses réponses.</t>
        </is>
      </c>
      <c r="E13" s="51" t="n"/>
      <c r="F13" s="52" t="n">
        <v>3</v>
      </c>
      <c r="G13" s="53" t="n"/>
      <c r="H13" s="54" t="n"/>
      <c r="I13" s="53" t="n"/>
      <c r="J13" s="54" t="n"/>
      <c r="K13" s="33" t="n"/>
      <c r="L13" s="33" t="n"/>
    </row>
    <row r="14" ht="27.75" customHeight="1" s="82">
      <c r="A14" s="108" t="inlineStr">
        <is>
          <t>TOTAL  (note sur 60)</t>
        </is>
      </c>
      <c r="E14" s="89" t="n"/>
      <c r="F14" s="56">
        <f>SUM(F8:F13)</f>
        <v/>
      </c>
      <c r="G14" s="57">
        <f>SUM(G8:G13)</f>
        <v/>
      </c>
      <c r="H14" s="33" t="n"/>
      <c r="I14" s="57">
        <f>SUM(I8:I13)</f>
        <v/>
      </c>
      <c r="J14" s="33" t="n"/>
      <c r="K14" s="33" t="n"/>
      <c r="L14" s="33" t="n"/>
    </row>
    <row r="15" ht="34.5" customHeight="1" s="82">
      <c r="A15" s="43" t="n"/>
      <c r="B15" s="109" t="inlineStr">
        <is>
          <t>L’obtention d’une note minimale de 10/20 permet la validation du parcours
(attention, la moyenne est calculée pour 3 jurés, à changer si uniquement 2 membres)</t>
        </is>
      </c>
      <c r="E15" s="59" t="n"/>
      <c r="F15" s="60">
        <f>(G14+I14)/2</f>
        <v/>
      </c>
      <c r="G15" s="61" t="n"/>
      <c r="H15" s="61" t="n"/>
      <c r="I15" s="33" t="n"/>
      <c r="J15" s="33" t="n"/>
      <c r="K15" s="33" t="n"/>
      <c r="L15" s="33" t="n"/>
    </row>
    <row r="16" ht="24.75" customHeight="1" s="82">
      <c r="A16" s="43" t="n"/>
      <c r="C16" s="62" t="n"/>
      <c r="D16" s="62" t="n"/>
      <c r="E16" s="91" t="n"/>
      <c r="F16" s="110" t="inlineStr">
        <is>
          <t>Note finale</t>
        </is>
      </c>
      <c r="H16" s="61" t="n"/>
      <c r="I16" s="33" t="n"/>
      <c r="J16" s="33" t="n"/>
      <c r="K16" s="33" t="n"/>
      <c r="L16" s="33" t="n"/>
    </row>
    <row r="17" ht="27.75" customHeight="1" s="82">
      <c r="A17" s="43" t="n"/>
      <c r="B17" s="62" t="inlineStr">
        <is>
          <t>Nom et prénom des évaluateurs</t>
        </is>
      </c>
      <c r="C17" s="62" t="n"/>
      <c r="G17" s="64" t="n"/>
      <c r="H17" s="64" t="n"/>
      <c r="I17" s="33" t="n"/>
      <c r="J17" s="33" t="n"/>
      <c r="K17" s="33" t="n"/>
      <c r="L17" s="33" t="n"/>
    </row>
    <row r="18" ht="27.75" customHeight="1" s="82">
      <c r="A18" s="43" t="n"/>
      <c r="B18" s="90">
        <f>'Ordre de passage'!F4</f>
        <v/>
      </c>
      <c r="D18" s="90">
        <f>'Ordre de passage'!G4</f>
        <v/>
      </c>
      <c r="E18" s="90" t="n"/>
      <c r="F18" s="109" t="n"/>
      <c r="I18" s="33" t="n"/>
      <c r="J18" s="33" t="n"/>
      <c r="K18" s="33" t="n"/>
      <c r="L18" s="33" t="n"/>
    </row>
    <row r="19" ht="14.25" customHeight="1" s="82">
      <c r="A19" s="43" t="n"/>
      <c r="E19" s="65" t="n"/>
      <c r="F19" s="65" t="n"/>
      <c r="G19" s="65" t="n"/>
      <c r="H19" s="65" t="n"/>
      <c r="I19" s="33" t="n"/>
      <c r="J19" s="33" t="n"/>
      <c r="K19" s="33" t="n"/>
      <c r="L19" s="33" t="n"/>
    </row>
    <row r="20" ht="25.5" customHeight="1" s="82">
      <c r="A20" s="43" t="n"/>
      <c r="B20" s="84" t="inlineStr">
        <is>
          <t>Appréciation générale Jury 1</t>
        </is>
      </c>
      <c r="C20" s="67" t="n"/>
      <c r="D20" s="84" t="inlineStr">
        <is>
          <t>Appréciation générale Jury 2</t>
        </is>
      </c>
      <c r="E20" s="84" t="n"/>
      <c r="F20" s="111" t="n"/>
      <c r="I20" s="33" t="n"/>
      <c r="J20" s="84" t="n"/>
      <c r="K20" s="33" t="n"/>
      <c r="L20" s="33" t="n"/>
    </row>
    <row r="21" ht="206.25" customHeight="1" s="82">
      <c r="A21" s="43" t="n"/>
      <c r="B21" s="85" t="n"/>
      <c r="C21" s="43" t="n"/>
      <c r="D21" s="64" t="n"/>
      <c r="E21" s="43" t="n"/>
      <c r="F21" s="85" t="n"/>
      <c r="G21" s="115" t="n"/>
      <c r="I21" s="33" t="n"/>
      <c r="J21" s="98" t="inlineStr">
        <is>
          <t xml:space="preserve">   Signature de l'organisme</t>
        </is>
      </c>
      <c r="K21" s="33" t="n"/>
      <c r="L21" s="33" t="n"/>
    </row>
    <row r="22" ht="14.25" customHeight="1" s="82">
      <c r="A22" s="43" t="n"/>
      <c r="C22" s="67" t="n"/>
      <c r="E22" s="65" t="n"/>
      <c r="I22" s="33" t="n"/>
      <c r="K22" s="33" t="n"/>
      <c r="L22" s="33" t="n"/>
    </row>
  </sheetData>
  <mergeCells count="10">
    <mergeCell ref="F20:H20"/>
    <mergeCell ref="G21:H21"/>
    <mergeCell ref="F4:G4"/>
    <mergeCell ref="I4:J4"/>
    <mergeCell ref="F18:H18"/>
    <mergeCell ref="F16:G16"/>
    <mergeCell ref="A3:J3"/>
    <mergeCell ref="A2:J2"/>
    <mergeCell ref="B15:D15"/>
    <mergeCell ref="A14:D14"/>
  </mergeCells>
  <conditionalFormatting sqref="B18 D18">
    <cfRule type="containsBlanks" priority="7" dxfId="0">
      <formula>LEN(TRIM(B18))=0</formula>
    </cfRule>
  </conditionalFormatting>
  <conditionalFormatting sqref="B21 D21">
    <cfRule type="containsBlanks" priority="1" dxfId="0">
      <formula>LEN(TRIM(B21))=0</formula>
    </cfRule>
  </conditionalFormatting>
  <conditionalFormatting sqref="D4:D6">
    <cfRule type="containsBlanks" priority="5" dxfId="0">
      <formula>LEN(TRIM(D4))=0</formula>
    </cfRule>
  </conditionalFormatting>
  <conditionalFormatting sqref="F15">
    <cfRule type="cellIs" priority="2" operator="lessThan" dxfId="3">
      <formula>10</formula>
    </cfRule>
    <cfRule type="cellIs" priority="3" operator="greaterThanOrEqual" dxfId="2">
      <formula>10</formula>
    </cfRule>
  </conditionalFormatting>
  <conditionalFormatting sqref="G8:J13">
    <cfRule type="containsBlanks" priority="4" dxfId="0">
      <formula>LEN(TRIM(G8))=0</formula>
    </cfRule>
  </conditionalFormatting>
  <conditionalFormatting sqref="H4">
    <cfRule type="containsBlanks" priority="6" dxfId="0">
      <formula>LEN(TRIM(H4))=0</formula>
    </cfRule>
  </conditionalFormatting>
  <pageMargins left="0.7" right="0.7" top="0.75" bottom="0.75" header="0" footer="0"/>
  <pageSetup orientation="landscape" scale="50"/>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22"/>
  <sheetViews>
    <sheetView showGridLines="0" workbookViewId="0">
      <selection activeCell="A3" sqref="A3"/>
    </sheetView>
  </sheetViews>
  <sheetFormatPr baseColWidth="10" defaultColWidth="12.59765625" defaultRowHeight="15" customHeight="1"/>
  <cols>
    <col width="4.69921875" customWidth="1" style="82" min="1" max="1"/>
    <col width="42.8984375" customWidth="1" style="82" min="2" max="2"/>
    <col width="1.19921875" customWidth="1" style="82" min="3" max="3"/>
    <col width="43.19921875" customWidth="1" style="82" min="4" max="4"/>
    <col width="1.19921875" customWidth="1" style="82" min="5" max="5"/>
    <col width="9.09765625" customWidth="1" style="82" min="6" max="7"/>
    <col width="28.8984375" customWidth="1" style="82" min="8" max="8"/>
    <col width="9.09765625" customWidth="1" style="82" min="9" max="9"/>
    <col width="37.8984375" customWidth="1" style="82" min="10" max="10"/>
  </cols>
  <sheetData>
    <row r="1" ht="51" customHeight="1" s="82">
      <c r="A1" s="114" t="n"/>
      <c r="C1" s="94" t="n"/>
      <c r="D1" s="94" t="n"/>
      <c r="E1" s="94" t="n"/>
      <c r="F1" s="94" t="n"/>
      <c r="G1" s="94" t="n"/>
      <c r="H1" s="94" t="n"/>
      <c r="I1" s="94" t="n"/>
      <c r="J1" s="94" t="n"/>
      <c r="K1" s="33" t="n"/>
      <c r="L1" s="33" t="n"/>
    </row>
    <row r="2" ht="44.25" customHeight="1" s="82">
      <c r="A2" s="113" t="inlineStr">
        <is>
          <t>Grille d'évaluation : "Communiquer sur les réseaux sociaux pour promouvoir sa TPE" - RS7200</t>
        </is>
      </c>
      <c r="K2" s="33" t="n"/>
      <c r="L2" s="33" t="n"/>
    </row>
    <row r="3" ht="14.25" customHeight="1" s="82">
      <c r="A3" s="35" t="n"/>
      <c r="B3" s="87" t="n"/>
      <c r="C3" s="37" t="n"/>
      <c r="D3" s="87" t="n"/>
      <c r="E3" s="87" t="n"/>
      <c r="F3" s="87" t="n"/>
      <c r="G3" s="87" t="n"/>
      <c r="H3" s="71" t="n"/>
      <c r="I3" s="1" t="n"/>
      <c r="J3" s="88" t="n"/>
      <c r="K3" s="33" t="n"/>
      <c r="L3" s="33" t="n"/>
    </row>
    <row r="4" ht="14.25" customHeight="1" s="82">
      <c r="A4" s="35" t="n"/>
      <c r="B4" s="87" t="inlineStr">
        <is>
          <t>Nom du candidat :</t>
        </is>
      </c>
      <c r="C4" s="37" t="n"/>
      <c r="D4" s="87">
        <f>IF('Ordre de passage'!C12="","",'Ordre de passage'!C12)</f>
        <v/>
      </c>
      <c r="E4" s="87" t="n"/>
      <c r="F4" s="106" t="inlineStr">
        <is>
          <t>Date :</t>
        </is>
      </c>
      <c r="H4" s="38">
        <f>IF('Ordre de passage'!D5="","",'Ordre de passage'!D5)</f>
        <v/>
      </c>
      <c r="I4" s="116" t="inlineStr">
        <is>
          <t>Important : renseigner les cellules de couleurs grises</t>
        </is>
      </c>
      <c r="K4" s="33" t="n"/>
      <c r="L4" s="33" t="n"/>
    </row>
    <row r="5" ht="14.25" customHeight="1" s="82">
      <c r="A5" s="35" t="n"/>
      <c r="B5" s="87" t="inlineStr">
        <is>
          <t>Prénom du candidat :</t>
        </is>
      </c>
      <c r="C5" s="97" t="n"/>
      <c r="D5" s="87">
        <f>IF('Ordre de passage'!D12="","",'Ordre de passage'!D12)</f>
        <v/>
      </c>
      <c r="E5" s="35" t="n"/>
      <c r="F5" s="35" t="n"/>
      <c r="H5" s="41" t="n"/>
      <c r="I5" s="41" t="n"/>
      <c r="J5" s="42" t="inlineStr">
        <is>
          <t>Commentaire obligatoire pour les critères que le candidat ne valide pas</t>
        </is>
      </c>
      <c r="K5" s="33" t="n"/>
      <c r="L5" s="33" t="n"/>
    </row>
    <row r="6" ht="14.25" customHeight="1" s="82">
      <c r="A6" s="43" t="n"/>
      <c r="B6" s="87" t="inlineStr">
        <is>
          <t>Heure de passage :</t>
        </is>
      </c>
      <c r="C6" s="37" t="n"/>
      <c r="D6" s="87">
        <f>IF('Ordre de passage'!B12="","",'Ordre de passage'!B12)</f>
        <v/>
      </c>
      <c r="E6" s="44" t="n"/>
      <c r="F6" s="44" t="n"/>
      <c r="G6" s="44" t="n"/>
      <c r="H6" s="44" t="n"/>
      <c r="I6" s="1" t="n"/>
      <c r="J6" s="33" t="n"/>
      <c r="K6" s="33" t="n"/>
      <c r="L6" s="33" t="n"/>
    </row>
    <row r="7" ht="39.75" customHeight="1" s="82">
      <c r="A7" s="45" t="n"/>
      <c r="B7" s="46" t="inlineStr">
        <is>
          <t>Compétences</t>
        </is>
      </c>
      <c r="C7" s="46" t="n"/>
      <c r="D7" s="46" t="inlineStr">
        <is>
          <t>Critères</t>
        </is>
      </c>
      <c r="E7" s="46" t="n"/>
      <c r="F7" s="47" t="inlineStr">
        <is>
          <t>Pts Max.</t>
        </is>
      </c>
      <c r="G7" s="48" t="inlineStr">
        <is>
          <t>Note Jury 1</t>
        </is>
      </c>
      <c r="H7" s="48" t="inlineStr">
        <is>
          <t>Commentaires Jury 1</t>
        </is>
      </c>
      <c r="I7" s="48" t="inlineStr">
        <is>
          <t>Note Jury 2</t>
        </is>
      </c>
      <c r="J7" s="48" t="inlineStr">
        <is>
          <t>Commentaires Jury 2</t>
        </is>
      </c>
      <c r="K7" s="33" t="n"/>
      <c r="L7" s="33" t="n"/>
    </row>
    <row r="8" ht="79.2" customHeight="1" s="82">
      <c r="A8" s="49" t="inlineStr">
        <is>
          <t>C1</t>
        </is>
      </c>
      <c r="B8" s="50" t="inlineStr">
        <is>
          <t>Définir une stratégie sur les réseaux sociaux, adaptée aux ressources mobilisables par la TPE et en lien avec son activité, son public cible et ses objectifs commerciaux, afin d’élaborer un plan d’action pertinent à la mesure des capacités financières et temporelles données au projet.</t>
        </is>
      </c>
      <c r="C8" s="51" t="n"/>
      <c r="D8" s="50" t="inlineStr">
        <is>
          <t>Cr1. Le plan d’action proposé par le candidat est en cohérence avec : 
- L’objectif visé
- La ou les cible(s) visée (es)
- La ou les période(s) de communication à exploiter
- Le budget alloué</t>
        </is>
      </c>
      <c r="E8" s="51" t="n"/>
      <c r="F8" s="52" t="n">
        <v>4</v>
      </c>
      <c r="G8" s="53" t="n"/>
      <c r="H8" s="54" t="n"/>
      <c r="I8" s="53" t="n"/>
      <c r="J8" s="54" t="n"/>
      <c r="K8" s="33" t="n"/>
      <c r="L8" s="33" t="n"/>
    </row>
    <row r="9" ht="77.25" customHeight="1" s="82">
      <c r="A9" s="49" t="inlineStr">
        <is>
          <t>C2</t>
        </is>
      </c>
      <c r="B9" s="50" t="inlineStr">
        <is>
          <t>Identifier la ou les plateforme(s) de réseaux sociaux en comparant leurs positionnements sur le marché, en s’assurant de leur correspondance avec son public cible et en prenant en compte les pratiques de la concurrence afin d’identifier les bonnes communautés.</t>
        </is>
      </c>
      <c r="C9" s="51" t="n"/>
      <c r="D9" s="50" t="inlineStr">
        <is>
          <t>Cr2. L’analyse de marché primaire réalisée permet de vérifier que le public visé correspond à la cible du produit / ou services et permet d’identifier le bon positionnement par rapport à la concurrence donnant l’avantage concurrentiel.</t>
        </is>
      </c>
      <c r="E9" s="51" t="n"/>
      <c r="F9" s="52" t="n">
        <v>3</v>
      </c>
      <c r="G9" s="53" t="n"/>
      <c r="H9" s="54" t="n"/>
      <c r="I9" s="53" t="n"/>
      <c r="J9" s="54" t="n"/>
      <c r="K9" s="33" t="n"/>
      <c r="L9" s="33" t="n"/>
    </row>
    <row r="10" ht="159.75" customHeight="1" s="82">
      <c r="A10" s="49" t="inlineStr">
        <is>
          <t>C3</t>
        </is>
      </c>
      <c r="B10" s="50" t="inlineStr">
        <is>
          <t>Créer et concevoir une page de présentation de son entreprise TPE sur les réseaux sociaux choisis, en intégrant les éléments de nom et d’identité visuelle pour l’ancrer dans le réseau social.</t>
        </is>
      </c>
      <c r="C10" s="51" t="n"/>
      <c r="D10" s="50" t="inlineStr">
        <is>
          <t>Cr3.1. Le modèle du profil dirigeant conçu par le candidat respecte le nom et l’identité visuelle du projet d’entreprise et est adapté dans son format aux normes et usages du réseau social.
Cr3.2. La page professionnelle du candidat :
- Est complétée et paramétrée sur le réseau social choisi
- Présente des contenus multimédias de qualité et harmonieux
- Prend en compte les situations de handicap (plan d’accès, mode de contact)</t>
        </is>
      </c>
      <c r="E10" s="51" t="n"/>
      <c r="F10" s="52" t="n">
        <v>3</v>
      </c>
      <c r="G10" s="53" t="n"/>
      <c r="H10" s="54" t="n"/>
      <c r="I10" s="53" t="n"/>
      <c r="J10" s="54" t="n"/>
      <c r="K10" s="33" t="n"/>
      <c r="L10" s="33" t="n"/>
    </row>
    <row r="11" ht="52.8" customHeight="1" s="82">
      <c r="A11" s="49" t="inlineStr">
        <is>
          <t>C4</t>
        </is>
      </c>
      <c r="B11" s="50" t="inlineStr">
        <is>
          <t>Elaborer une stratégie éditoriale en tenant compte des spécificités propres à la TPE (objectifs qualitatifs, quantitatifs et temporels) afin d’établir un planning d’actions et ainsi organiser une régularité dans la ligne éditoriale.</t>
        </is>
      </c>
      <c r="C11" s="51" t="n"/>
      <c r="D11" s="50" t="inlineStr">
        <is>
          <t>Cr4. Le planning est élaboré de façon à permettre une régularité et un rythme dans les objectifs de publication de promotion de l’activité produits et/ou services.</t>
        </is>
      </c>
      <c r="E11" s="51" t="n"/>
      <c r="F11" s="52" t="n">
        <v>4</v>
      </c>
      <c r="G11" s="53" t="n"/>
      <c r="H11" s="54" t="n"/>
      <c r="I11" s="53" t="n"/>
      <c r="J11" s="54" t="n"/>
      <c r="K11" s="33" t="n"/>
      <c r="L11" s="33" t="n"/>
    </row>
    <row r="12" ht="117" customHeight="1" s="82">
      <c r="A12" s="49" t="inlineStr">
        <is>
          <t>C5</t>
        </is>
      </c>
      <c r="B12" s="50" t="inlineStr">
        <is>
          <t>Animer la page de son entreprise TPE en publiant des posts (du contenu commercial, des informations sur les produits et sur l’entreprise, du contenu multimédia) en apportant des adaptations en fonction des différentes situations de handicap qui peuvent être prises en compte (sous-titrage par exemple) et en utilisant un ton en correspondance avec la communauté visée afin de générer des actions, des réactions ou des interactions du(des) public(s) visé(s).</t>
        </is>
      </c>
      <c r="C12" s="51" t="n"/>
      <c r="D12" s="50" t="inlineStr">
        <is>
          <t>Cr5. La publication est correctement rédigée : 
- Le ton employé est dans l’esprit du réseau social concerné
- La thématique choisie est en cohérence avec le projet de promotion des produits et/ou services de l’entreprise</t>
        </is>
      </c>
      <c r="E12" s="51" t="n"/>
      <c r="F12" s="52" t="n">
        <v>3</v>
      </c>
      <c r="G12" s="53" t="n"/>
      <c r="H12" s="54" t="n"/>
      <c r="I12" s="53" t="n"/>
      <c r="J12" s="54" t="n"/>
      <c r="K12" s="33" t="n"/>
      <c r="L12" s="33" t="n"/>
    </row>
    <row r="13" ht="185.25" customHeight="1" s="82">
      <c r="A13" s="49" t="inlineStr">
        <is>
          <t>C6</t>
        </is>
      </c>
      <c r="B13" s="50" t="inlineStr">
        <is>
          <t>Cultiver la e-réputation de son entreprise TPE en mettant en place des actions publicitaires sur le réseau social concerné, en répondant aux avis, commentaires et critiques publiés par la communauté dans la page de l’entreprise, en sélectionnant des e-influenceurs et en suivant les données transmises par le réseau social concerné afin d’attirer davantage de public(s) visé(s) et d’optimiser la performance de ses publications</t>
        </is>
      </c>
      <c r="C13" s="51" t="n"/>
      <c r="D13" s="50" t="inlineStr">
        <is>
          <t>Cr6.1. Le candidat réalise correctement la campagne publicitaire sur l’outil de création de campagne du réseau social. Le candidat remplit les champs nécessaires en restant aligné avec : 
- La cible prédéfinie
- Les informations relatives à l’entreprise
- Le budget
- La date de lancement de la campagne
- Le contenu de la publication 
Cr6.2. Le candidat tient compte des potentielles situations de handicap des membres de sa communauté dans ses réponses.</t>
        </is>
      </c>
      <c r="E13" s="51" t="n"/>
      <c r="F13" s="52" t="n">
        <v>3</v>
      </c>
      <c r="G13" s="53" t="n"/>
      <c r="H13" s="54" t="n"/>
      <c r="I13" s="53" t="n"/>
      <c r="J13" s="54" t="n"/>
      <c r="K13" s="33" t="n"/>
      <c r="L13" s="33" t="n"/>
    </row>
    <row r="14" ht="27.75" customHeight="1" s="82">
      <c r="A14" s="108" t="inlineStr">
        <is>
          <t>TOTAL  (note sur 60)</t>
        </is>
      </c>
      <c r="E14" s="89" t="n"/>
      <c r="F14" s="56">
        <f>SUM(F8:F13)</f>
        <v/>
      </c>
      <c r="G14" s="57">
        <f>SUM(G8:G13)</f>
        <v/>
      </c>
      <c r="H14" s="33" t="n"/>
      <c r="I14" s="57">
        <f>SUM(I8:I13)</f>
        <v/>
      </c>
      <c r="J14" s="33" t="n"/>
      <c r="K14" s="33" t="n"/>
      <c r="L14" s="33" t="n"/>
    </row>
    <row r="15" ht="34.5" customHeight="1" s="82">
      <c r="A15" s="43" t="n"/>
      <c r="B15" s="109" t="inlineStr">
        <is>
          <t>L’obtention d’une note minimale de 10/20 permet la validation du parcours
(attention, la moyenne est calculée pour 3 jurés, à changer si uniquement 2 membres)</t>
        </is>
      </c>
      <c r="E15" s="59" t="n"/>
      <c r="F15" s="60">
        <f>(G14+I14)/2</f>
        <v/>
      </c>
      <c r="G15" s="61" t="n"/>
      <c r="H15" s="61" t="n"/>
      <c r="I15" s="33" t="n"/>
      <c r="J15" s="33" t="n"/>
      <c r="K15" s="33" t="n"/>
      <c r="L15" s="33" t="n"/>
    </row>
    <row r="16" ht="24.75" customHeight="1" s="82">
      <c r="A16" s="43" t="n"/>
      <c r="C16" s="62" t="n"/>
      <c r="D16" s="62" t="n"/>
      <c r="E16" s="91" t="n"/>
      <c r="F16" s="110" t="inlineStr">
        <is>
          <t>Note finale</t>
        </is>
      </c>
      <c r="H16" s="61" t="n"/>
      <c r="I16" s="33" t="n"/>
      <c r="J16" s="33" t="n"/>
      <c r="K16" s="33" t="n"/>
      <c r="L16" s="33" t="n"/>
    </row>
    <row r="17" ht="27.75" customHeight="1" s="82">
      <c r="A17" s="43" t="n"/>
      <c r="B17" s="62" t="inlineStr">
        <is>
          <t>Nom et prénom des évaluateurs</t>
        </is>
      </c>
      <c r="C17" s="62" t="n"/>
      <c r="G17" s="64" t="n"/>
      <c r="H17" s="64" t="n"/>
      <c r="I17" s="33" t="n"/>
      <c r="J17" s="33" t="n"/>
      <c r="K17" s="33" t="n"/>
      <c r="L17" s="33" t="n"/>
    </row>
    <row r="18" ht="27.75" customHeight="1" s="82">
      <c r="A18" s="43" t="n"/>
      <c r="B18" s="90">
        <f>'Ordre de passage'!F4</f>
        <v/>
      </c>
      <c r="D18" s="90">
        <f>'Ordre de passage'!G4</f>
        <v/>
      </c>
      <c r="E18" s="90" t="n"/>
      <c r="F18" s="109" t="n"/>
      <c r="I18" s="33" t="n"/>
      <c r="J18" s="33" t="n"/>
      <c r="K18" s="33" t="n"/>
      <c r="L18" s="33" t="n"/>
    </row>
    <row r="19" ht="8.25" customHeight="1" s="82">
      <c r="A19" s="43" t="n"/>
      <c r="E19" s="65" t="n"/>
      <c r="F19" s="65" t="n"/>
      <c r="G19" s="65" t="n"/>
      <c r="H19" s="65" t="n"/>
      <c r="I19" s="33" t="n"/>
      <c r="J19" s="33" t="n"/>
      <c r="K19" s="33" t="n"/>
      <c r="L19" s="33" t="n"/>
    </row>
    <row r="20" ht="25.5" customHeight="1" s="82">
      <c r="A20" s="43" t="n"/>
      <c r="B20" s="84" t="inlineStr">
        <is>
          <t>Appréciation générale Jury 1</t>
        </is>
      </c>
      <c r="C20" s="67" t="n"/>
      <c r="D20" s="84" t="inlineStr">
        <is>
          <t>Appréciation générale Jury 2</t>
        </is>
      </c>
      <c r="E20" s="84" t="n"/>
      <c r="F20" s="111" t="n"/>
      <c r="I20" s="33" t="n"/>
      <c r="J20" s="84" t="n"/>
      <c r="K20" s="33" t="n"/>
      <c r="L20" s="33" t="n"/>
    </row>
    <row r="21" ht="163.5" customHeight="1" s="82">
      <c r="A21" s="43" t="n"/>
      <c r="B21" s="85" t="n"/>
      <c r="C21" s="43" t="n"/>
      <c r="D21" s="72" t="n"/>
      <c r="E21" s="43" t="n"/>
      <c r="F21" s="85" t="n"/>
      <c r="G21" s="115" t="n"/>
      <c r="I21" s="33" t="n"/>
      <c r="J21" s="98" t="inlineStr">
        <is>
          <t xml:space="preserve">Signature de l'organisme </t>
        </is>
      </c>
      <c r="K21" s="33" t="n"/>
      <c r="L21" s="33" t="n"/>
    </row>
    <row r="22" ht="14.25" customHeight="1" s="82">
      <c r="A22" s="43" t="n"/>
      <c r="C22" s="67" t="n"/>
      <c r="E22" s="65" t="n"/>
      <c r="I22" s="33" t="n"/>
      <c r="K22" s="33" t="n"/>
      <c r="L22" s="33" t="n"/>
    </row>
  </sheetData>
  <mergeCells count="10">
    <mergeCell ref="F20:H20"/>
    <mergeCell ref="G21:H21"/>
    <mergeCell ref="F4:G4"/>
    <mergeCell ref="I4:J4"/>
    <mergeCell ref="F18:H18"/>
    <mergeCell ref="F16:G16"/>
    <mergeCell ref="A1:B1"/>
    <mergeCell ref="A2:J2"/>
    <mergeCell ref="B15:D15"/>
    <mergeCell ref="A14:D14"/>
  </mergeCells>
  <conditionalFormatting sqref="B18 D18">
    <cfRule type="containsBlanks" priority="7" dxfId="0">
      <formula>LEN(TRIM(B18))=0</formula>
    </cfRule>
  </conditionalFormatting>
  <conditionalFormatting sqref="B21 D21">
    <cfRule type="containsBlanks" priority="1" dxfId="0">
      <formula>LEN(TRIM(B21))=0</formula>
    </cfRule>
  </conditionalFormatting>
  <conditionalFormatting sqref="D4:D6">
    <cfRule type="containsBlanks" priority="5" dxfId="0">
      <formula>LEN(TRIM(D4))=0</formula>
    </cfRule>
  </conditionalFormatting>
  <conditionalFormatting sqref="F15">
    <cfRule type="cellIs" priority="2" operator="lessThan" dxfId="3">
      <formula>10</formula>
    </cfRule>
    <cfRule type="cellIs" priority="3" operator="greaterThanOrEqual" dxfId="2">
      <formula>10</formula>
    </cfRule>
  </conditionalFormatting>
  <conditionalFormatting sqref="G8:J13">
    <cfRule type="containsBlanks" priority="4" dxfId="0">
      <formula>LEN(TRIM(G8))=0</formula>
    </cfRule>
  </conditionalFormatting>
  <conditionalFormatting sqref="H4">
    <cfRule type="containsBlanks" priority="6" dxfId="0">
      <formula>LEN(TRIM(H4))=0</formula>
    </cfRule>
  </conditionalFormatting>
  <pageMargins left="0.5211505922165821" right="0.2047377326565144" top="1.596774193548387" bottom="2.106854838709677" header="0" footer="0"/>
  <pageSetup orientation="portrait" paperSize="3" scale="5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L22"/>
  <sheetViews>
    <sheetView showGridLines="0" workbookViewId="0">
      <selection activeCell="A3" sqref="A3"/>
    </sheetView>
  </sheetViews>
  <sheetFormatPr baseColWidth="10" defaultColWidth="12.59765625" defaultRowHeight="15" customHeight="1"/>
  <cols>
    <col width="4.69921875" customWidth="1" style="82" min="1" max="1"/>
    <col width="42.8984375" customWidth="1" style="82" min="2" max="2"/>
    <col width="1.19921875" customWidth="1" style="82" min="3" max="3"/>
    <col width="43.19921875" customWidth="1" style="82" min="4" max="4"/>
    <col width="1.19921875" customWidth="1" style="82" min="5" max="5"/>
    <col width="9.09765625" customWidth="1" style="82" min="6" max="7"/>
    <col width="28.8984375" customWidth="1" style="82" min="8" max="8"/>
    <col width="9.09765625" customWidth="1" style="82" min="9" max="9"/>
    <col width="40.19921875" customWidth="1" style="82" min="10" max="10"/>
  </cols>
  <sheetData>
    <row r="1" ht="39" customHeight="1" s="82">
      <c r="A1" s="117" t="n"/>
      <c r="C1" s="96" t="n"/>
      <c r="D1" s="96" t="n"/>
      <c r="E1" s="96" t="n"/>
      <c r="F1" s="96" t="n"/>
      <c r="G1" s="96" t="n"/>
      <c r="H1" s="96" t="n"/>
      <c r="I1" s="96" t="n"/>
      <c r="J1" s="96" t="n"/>
      <c r="K1" s="74" t="n"/>
      <c r="L1" s="74" t="n"/>
    </row>
    <row r="2" ht="37.5" customHeight="1" s="82">
      <c r="A2" s="105" t="inlineStr">
        <is>
          <t>Grille d'évaluation : "Communiquer sur les réseaux sociaux pour promouvoir sa TPE" - RS7200</t>
        </is>
      </c>
      <c r="K2" s="33" t="n"/>
      <c r="L2" s="33" t="n"/>
    </row>
    <row r="3" ht="14.25" customHeight="1" s="82">
      <c r="A3" s="35" t="n"/>
      <c r="B3" s="87" t="n"/>
      <c r="C3" s="37" t="n"/>
      <c r="D3" s="87" t="n"/>
      <c r="E3" s="87" t="n"/>
      <c r="F3" s="87" t="n"/>
      <c r="G3" s="87" t="n"/>
      <c r="H3" s="75" t="n"/>
      <c r="I3" s="1" t="n"/>
      <c r="J3" s="88" t="n"/>
      <c r="K3" s="33" t="n"/>
      <c r="L3" s="33" t="n"/>
    </row>
    <row r="4" ht="14.25" customHeight="1" s="82">
      <c r="A4" s="35" t="n"/>
      <c r="B4" s="87" t="inlineStr">
        <is>
          <t>Nom du candidat :</t>
        </is>
      </c>
      <c r="C4" s="37" t="n"/>
      <c r="D4" s="87">
        <f>IF('Ordre de passage'!C13="","",'Ordre de passage'!C13)</f>
        <v/>
      </c>
      <c r="E4" s="87" t="n"/>
      <c r="F4" s="106" t="inlineStr">
        <is>
          <t>Date :</t>
        </is>
      </c>
      <c r="H4" s="38">
        <f>IF('Ordre de passage'!D5="","",'Ordre de passage'!D5)</f>
        <v/>
      </c>
      <c r="I4" s="107" t="inlineStr">
        <is>
          <t>Important : renseigner les cellules de couleurs grises</t>
        </is>
      </c>
      <c r="K4" s="33" t="n"/>
      <c r="L4" s="33" t="n"/>
    </row>
    <row r="5" ht="14.25" customHeight="1" s="82">
      <c r="A5" s="35" t="n"/>
      <c r="B5" s="87" t="inlineStr">
        <is>
          <t>Prénom du candidat :</t>
        </is>
      </c>
      <c r="C5" s="97" t="n"/>
      <c r="D5" s="87">
        <f>IF('Ordre de passage'!D13="","",'Ordre de passage'!D13)</f>
        <v/>
      </c>
      <c r="E5" s="35" t="n"/>
      <c r="F5" s="35" t="n"/>
      <c r="H5" s="41" t="n"/>
      <c r="I5" s="41" t="n"/>
      <c r="J5" s="42" t="inlineStr">
        <is>
          <t>Commentaire obligatoire pour les critères que le candidat ne valide pas</t>
        </is>
      </c>
      <c r="K5" s="33" t="n"/>
      <c r="L5" s="33" t="n"/>
    </row>
    <row r="6" ht="14.25" customHeight="1" s="82">
      <c r="A6" s="43" t="n"/>
      <c r="B6" s="87" t="inlineStr">
        <is>
          <t>Heure de passage :</t>
        </is>
      </c>
      <c r="C6" s="37" t="n"/>
      <c r="D6" s="87">
        <f>IF('Ordre de passage'!B13="","",'Ordre de passage'!B13)</f>
        <v/>
      </c>
      <c r="E6" s="44" t="n"/>
      <c r="F6" s="44" t="n"/>
      <c r="G6" s="44" t="n"/>
      <c r="H6" s="44" t="n"/>
      <c r="I6" s="1" t="n"/>
      <c r="J6" s="33" t="n"/>
      <c r="K6" s="33" t="n"/>
      <c r="L6" s="33" t="n"/>
    </row>
    <row r="7" ht="39.75" customHeight="1" s="82">
      <c r="A7" s="45" t="n"/>
      <c r="B7" s="46" t="inlineStr">
        <is>
          <t>Compétences</t>
        </is>
      </c>
      <c r="C7" s="46" t="n"/>
      <c r="D7" s="46" t="inlineStr">
        <is>
          <t>Critères</t>
        </is>
      </c>
      <c r="E7" s="46" t="n"/>
      <c r="F7" s="47" t="inlineStr">
        <is>
          <t>Pts Max.</t>
        </is>
      </c>
      <c r="G7" s="48" t="inlineStr">
        <is>
          <t>Note Jury 1</t>
        </is>
      </c>
      <c r="H7" s="48" t="inlineStr">
        <is>
          <t>Commentaires Jury 1</t>
        </is>
      </c>
      <c r="I7" s="48" t="inlineStr">
        <is>
          <t>Note Jury 2</t>
        </is>
      </c>
      <c r="J7" s="48" t="inlineStr">
        <is>
          <t>Commentaires Jury 2</t>
        </is>
      </c>
      <c r="K7" s="33" t="n"/>
      <c r="L7" s="33" t="n"/>
    </row>
    <row r="8" ht="79.2" customHeight="1" s="82">
      <c r="A8" s="49" t="inlineStr">
        <is>
          <t>C1</t>
        </is>
      </c>
      <c r="B8" s="50" t="inlineStr">
        <is>
          <t>Définir une stratégie sur les réseaux sociaux, adaptée aux ressources mobilisables par la TPE et en lien avec son activité, son public cible et ses objectifs commerciaux, afin d’élaborer un plan d’action pertinent à la mesure des capacités financières et temporelles données au projet.</t>
        </is>
      </c>
      <c r="C8" s="51" t="n"/>
      <c r="D8" s="50" t="inlineStr">
        <is>
          <t>Cr1. Le plan d’action proposé par le candidat est en cohérence avec : 
- L’objectif visé
- La ou les cible(s) visée (es)
- La ou les période(s) de communication à exploiter
- Le budget alloué</t>
        </is>
      </c>
      <c r="E8" s="51" t="n"/>
      <c r="F8" s="52" t="n">
        <v>4</v>
      </c>
      <c r="G8" s="53" t="n"/>
      <c r="H8" s="54" t="n"/>
      <c r="I8" s="53" t="n"/>
      <c r="J8" s="54" t="n"/>
      <c r="K8" s="33" t="n"/>
      <c r="L8" s="33" t="n"/>
    </row>
    <row r="9" ht="77.25" customHeight="1" s="82">
      <c r="A9" s="49" t="inlineStr">
        <is>
          <t>C2</t>
        </is>
      </c>
      <c r="B9" s="50" t="inlineStr">
        <is>
          <t>Identifier la ou les plateforme(s) de réseaux sociaux en comparant leurs positionnements sur le marché, en s’assurant de leur correspondance avec son public cible et en prenant en compte les pratiques de la concurrence afin d’identifier les bonnes communautés.</t>
        </is>
      </c>
      <c r="C9" s="51" t="n"/>
      <c r="D9" s="50" t="inlineStr">
        <is>
          <t>Cr2. L’analyse de marché primaire réalisée permet de vérifier que le public visé correspond à la cible du produit / ou services et permet d’identifier le bon positionnement par rapport à la concurrence donnant l’avantage concurrentiel.</t>
        </is>
      </c>
      <c r="E9" s="51" t="n"/>
      <c r="F9" s="52" t="n">
        <v>3</v>
      </c>
      <c r="G9" s="53" t="n"/>
      <c r="H9" s="54" t="n"/>
      <c r="I9" s="53" t="n"/>
      <c r="J9" s="54" t="n"/>
      <c r="K9" s="33" t="n"/>
      <c r="L9" s="33" t="n"/>
    </row>
    <row r="10" ht="159.75" customHeight="1" s="82">
      <c r="A10" s="49" t="inlineStr">
        <is>
          <t>C3</t>
        </is>
      </c>
      <c r="B10" s="50" t="inlineStr">
        <is>
          <t>Créer et concevoir une page de présentation de son entreprise TPE sur les réseaux sociaux choisis, en intégrant les éléments de nom et d’identité visuelle pour l’ancrer dans le réseau social.</t>
        </is>
      </c>
      <c r="C10" s="51" t="n"/>
      <c r="D10" s="50" t="inlineStr">
        <is>
          <t>Cr3.1. Le modèle du profil dirigeant conçu par le candidat respecte le nom et l’identité visuelle du projet d’entreprise et est adapté dans son format aux normes et usages du réseau social.
Cr3.2. La page professionnelle du candidat :
- Est complétée et paramétrée sur le réseau social choisi
- Présente des contenus multimédias de qualité et harmonieux
- Prend en compte les situations de handicap (plan d’accès, mode de contact)</t>
        </is>
      </c>
      <c r="E10" s="51" t="n"/>
      <c r="F10" s="52" t="n">
        <v>3</v>
      </c>
      <c r="G10" s="53" t="n"/>
      <c r="H10" s="54" t="n"/>
      <c r="I10" s="53" t="n"/>
      <c r="J10" s="54" t="n"/>
      <c r="K10" s="33" t="n"/>
      <c r="L10" s="33" t="n"/>
    </row>
    <row r="11" ht="75.75" customHeight="1" s="82">
      <c r="A11" s="49" t="inlineStr">
        <is>
          <t>C4</t>
        </is>
      </c>
      <c r="B11" s="50" t="inlineStr">
        <is>
          <t>Elaborer une stratégie éditoriale en tenant compte des spécificités propres à la TPE (objectifs qualitatifs, quantitatifs et temporels) afin d’établir un planning d’actions et ainsi organiser une régularité dans la ligne éditoriale.</t>
        </is>
      </c>
      <c r="C11" s="51" t="n"/>
      <c r="D11" s="50" t="inlineStr">
        <is>
          <t>Cr4. Le planning est élaboré de façon à permettre une régularité et un rythme dans les objectifs de publication de promotion de l’activité produits et/ou services.</t>
        </is>
      </c>
      <c r="E11" s="51" t="n"/>
      <c r="F11" s="52" t="n">
        <v>4</v>
      </c>
      <c r="G11" s="53" t="n"/>
      <c r="H11" s="54" t="n"/>
      <c r="I11" s="53" t="n"/>
      <c r="J11" s="54" t="n"/>
      <c r="K11" s="33" t="n"/>
      <c r="L11" s="33" t="n"/>
    </row>
    <row r="12" ht="117" customHeight="1" s="82">
      <c r="A12" s="49" t="inlineStr">
        <is>
          <t>C5</t>
        </is>
      </c>
      <c r="B12" s="50" t="inlineStr">
        <is>
          <t>Animer la page de son entreprise TPE en publiant des posts (du contenu commercial, des informations sur les produits et sur l’entreprise, du contenu multimédia) en apportant des adaptations en fonction des différentes situations de handicap qui peuvent être prises en compte (sous-titrage par exemple) et en utilisant un ton en correspondance avec la communauté visée afin de générer des actions, des réactions ou des interactions du(des) public(s) visé(s).</t>
        </is>
      </c>
      <c r="C12" s="51" t="n"/>
      <c r="D12" s="50" t="inlineStr">
        <is>
          <t>Cr5. La publication est correctement rédigée : 
- Le ton employé est dans l’esprit du réseau social concerné
- La thématique choisie est en cohérence avec le projet de promotion des produits et/ou services de l’entreprise</t>
        </is>
      </c>
      <c r="E12" s="51" t="n"/>
      <c r="F12" s="52" t="n">
        <v>3</v>
      </c>
      <c r="G12" s="53" t="n"/>
      <c r="H12" s="54" t="n"/>
      <c r="I12" s="53" t="n"/>
      <c r="J12" s="54" t="n"/>
      <c r="K12" s="33" t="n"/>
      <c r="L12" s="33" t="n"/>
    </row>
    <row r="13" ht="185.25" customHeight="1" s="82">
      <c r="A13" s="49" t="inlineStr">
        <is>
          <t>C6</t>
        </is>
      </c>
      <c r="B13" s="50" t="inlineStr">
        <is>
          <t>Cultiver la e-réputation de son entreprise TPE en mettant en place des actions publicitaires sur le réseau social concerné, en répondant aux avis, commentaires et critiques publiés par la communauté dans la page de l’entreprise, en sélectionnant des e-influenceurs et en suivant les données transmises par le réseau social concerné afin d’attirer davantage de public(s) visé(s) et d’optimiser la performance de ses publications</t>
        </is>
      </c>
      <c r="C13" s="51" t="n"/>
      <c r="D13" s="50" t="inlineStr">
        <is>
          <t>Cr6.1. Le candidat réalise correctement la campagne publicitaire sur l’outil de création de campagne du réseau social. Le candidat remplit les champs nécessaires en restant aligné avec : 
- La cible prédéfinie
- Les informations relatives à l’entreprise
- Le budget
- La date de lancement de la campagne
- Le contenu de la publication 
Cr6.2. Le candidat tient compte des potentielles situations de handicap des membres de sa communauté dans ses réponses.</t>
        </is>
      </c>
      <c r="E13" s="51" t="n"/>
      <c r="F13" s="52" t="n">
        <v>3</v>
      </c>
      <c r="G13" s="53" t="n"/>
      <c r="H13" s="54" t="n"/>
      <c r="I13" s="53" t="n"/>
      <c r="J13" s="54" t="n"/>
      <c r="K13" s="33" t="n"/>
      <c r="L13" s="33" t="n"/>
    </row>
    <row r="14" ht="27.75" customHeight="1" s="82">
      <c r="A14" s="108" t="inlineStr">
        <is>
          <t>TOTAL  (note sur 60)</t>
        </is>
      </c>
      <c r="E14" s="89" t="n"/>
      <c r="F14" s="56">
        <f>SUM(F8:F13)</f>
        <v/>
      </c>
      <c r="G14" s="57">
        <f>SUM(G8:G13)</f>
        <v/>
      </c>
      <c r="H14" s="33" t="n"/>
      <c r="I14" s="57">
        <f>SUM(I8:I13)</f>
        <v/>
      </c>
      <c r="J14" s="33" t="n"/>
      <c r="K14" s="33" t="n"/>
      <c r="L14" s="33" t="n"/>
    </row>
    <row r="15" ht="34.5" customHeight="1" s="82">
      <c r="A15" s="43" t="n"/>
      <c r="B15" s="109" t="inlineStr">
        <is>
          <t>L’obtention d’une note minimale de 10/20 permet la validation du parcours
(attention, la moyenne est calculée pour 3 jurés, à changer si uniquement 2 membres)</t>
        </is>
      </c>
      <c r="E15" s="59" t="n"/>
      <c r="F15" s="60">
        <f>(G14+I14)/2</f>
        <v/>
      </c>
      <c r="G15" s="61" t="n"/>
      <c r="H15" s="61" t="n"/>
      <c r="I15" s="33" t="n"/>
      <c r="J15" s="33" t="n"/>
      <c r="K15" s="33" t="n"/>
      <c r="L15" s="33" t="n"/>
    </row>
    <row r="16" ht="24.75" customHeight="1" s="82">
      <c r="A16" s="43" t="n"/>
      <c r="C16" s="62" t="n"/>
      <c r="D16" s="62" t="n"/>
      <c r="E16" s="91" t="n"/>
      <c r="F16" s="110" t="inlineStr">
        <is>
          <t>Note finale</t>
        </is>
      </c>
      <c r="H16" s="61" t="n"/>
      <c r="I16" s="33" t="n"/>
      <c r="J16" s="33" t="n"/>
      <c r="K16" s="33" t="n"/>
      <c r="L16" s="33" t="n"/>
    </row>
    <row r="17" ht="27.75" customHeight="1" s="82">
      <c r="A17" s="43" t="n"/>
      <c r="B17" s="62" t="inlineStr">
        <is>
          <t>Nom et prénom des évaluateurs</t>
        </is>
      </c>
      <c r="C17" s="62" t="n"/>
      <c r="G17" s="64" t="n"/>
      <c r="H17" s="64" t="n"/>
      <c r="I17" s="33" t="n"/>
      <c r="J17" s="33" t="n"/>
      <c r="K17" s="33" t="n"/>
      <c r="L17" s="33" t="n"/>
    </row>
    <row r="18" ht="27.75" customHeight="1" s="82">
      <c r="A18" s="43" t="n"/>
      <c r="B18" s="90">
        <f>'Ordre de passage'!F4</f>
        <v/>
      </c>
      <c r="D18" s="90">
        <f>'Ordre de passage'!G4</f>
        <v/>
      </c>
      <c r="E18" s="90" t="n"/>
      <c r="F18" s="109" t="n"/>
      <c r="I18" s="33" t="n"/>
      <c r="J18" s="33" t="n"/>
      <c r="K18" s="33" t="n"/>
      <c r="L18" s="33" t="n"/>
    </row>
    <row r="19" ht="8.25" customHeight="1" s="82">
      <c r="A19" s="43" t="n"/>
      <c r="E19" s="65" t="n"/>
      <c r="F19" s="65" t="n"/>
      <c r="G19" s="65" t="n"/>
      <c r="H19" s="65" t="n"/>
      <c r="I19" s="33" t="n"/>
      <c r="J19" s="33" t="n"/>
      <c r="K19" s="33" t="n"/>
      <c r="L19" s="33" t="n"/>
    </row>
    <row r="20" ht="25.5" customHeight="1" s="82">
      <c r="A20" s="43" t="n"/>
      <c r="B20" s="84" t="inlineStr">
        <is>
          <t>Appréciation générale Jury 1</t>
        </is>
      </c>
      <c r="C20" s="67" t="n"/>
      <c r="D20" s="84" t="inlineStr">
        <is>
          <t>Appréciation générale Jury 2</t>
        </is>
      </c>
      <c r="E20" s="84" t="n"/>
      <c r="F20" s="111" t="n"/>
      <c r="I20" s="33" t="n"/>
      <c r="J20" s="84" t="n"/>
      <c r="K20" s="33" t="n"/>
      <c r="L20" s="33" t="n"/>
    </row>
    <row r="21" ht="16.2" customHeight="1" s="82">
      <c r="A21" s="43" t="n"/>
      <c r="B21" s="85" t="n"/>
      <c r="C21" s="43" t="n"/>
      <c r="D21" s="97" t="n"/>
      <c r="E21" s="43" t="n"/>
      <c r="F21" s="85" t="n"/>
      <c r="G21" s="115" t="n"/>
      <c r="I21" s="33" t="n"/>
      <c r="J21" s="98" t="inlineStr">
        <is>
          <t>Signature de l'organisme</t>
        </is>
      </c>
      <c r="K21" s="33" t="n"/>
      <c r="L21" s="33" t="n"/>
    </row>
    <row r="22" ht="14.25" customHeight="1" s="82">
      <c r="A22" s="43" t="n"/>
      <c r="B22" s="85" t="n"/>
      <c r="C22" s="67" t="n"/>
      <c r="D22" s="97" t="n"/>
      <c r="E22" s="65" t="n"/>
      <c r="I22" s="33" t="n"/>
      <c r="J22" s="76" t="n"/>
      <c r="K22" s="33" t="n"/>
      <c r="L22" s="33" t="n"/>
    </row>
  </sheetData>
  <mergeCells count="10">
    <mergeCell ref="F20:H20"/>
    <mergeCell ref="G21:H21"/>
    <mergeCell ref="F4:G4"/>
    <mergeCell ref="I4:J4"/>
    <mergeCell ref="F18:H18"/>
    <mergeCell ref="F16:G16"/>
    <mergeCell ref="A1:B1"/>
    <mergeCell ref="A2:J2"/>
    <mergeCell ref="B15:D15"/>
    <mergeCell ref="A14:D14"/>
  </mergeCells>
  <conditionalFormatting sqref="B18 D18">
    <cfRule type="containsBlanks" priority="7" dxfId="0">
      <formula>LEN(TRIM(B18))=0</formula>
    </cfRule>
  </conditionalFormatting>
  <conditionalFormatting sqref="B21:B27 D21:D27">
    <cfRule type="containsBlanks" priority="1" dxfId="0">
      <formula>LEN(TRIM(B21))=0</formula>
    </cfRule>
  </conditionalFormatting>
  <conditionalFormatting sqref="D4:D6">
    <cfRule type="containsBlanks" priority="5" dxfId="0">
      <formula>LEN(TRIM(D4))=0</formula>
    </cfRule>
  </conditionalFormatting>
  <conditionalFormatting sqref="F15">
    <cfRule type="cellIs" priority="2" operator="lessThan" dxfId="3">
      <formula>10</formula>
    </cfRule>
    <cfRule type="cellIs" priority="3" operator="greaterThanOrEqual" dxfId="2">
      <formula>10</formula>
    </cfRule>
  </conditionalFormatting>
  <conditionalFormatting sqref="G8:J13">
    <cfRule type="containsBlanks" priority="4" dxfId="0">
      <formula>LEN(TRIM(G8))=0</formula>
    </cfRule>
  </conditionalFormatting>
  <conditionalFormatting sqref="H4">
    <cfRule type="containsBlanks" priority="6" dxfId="0">
      <formula>LEN(TRIM(H4))=0</formula>
    </cfRule>
  </conditionalFormatting>
  <pageMargins left="0.75" right="0.75" top="1.451776649746193" bottom="3.26008064516129" header="0" footer="0"/>
  <pageSetup orientation="portrait" paperSize="3" scale="5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T28"/>
  <sheetViews>
    <sheetView showGridLines="0" workbookViewId="0">
      <selection activeCell="A3" sqref="A3"/>
    </sheetView>
  </sheetViews>
  <sheetFormatPr baseColWidth="10" defaultColWidth="12.59765625" defaultRowHeight="15" customHeight="1"/>
  <cols>
    <col width="4.69921875" customWidth="1" style="82" min="1" max="1"/>
    <col width="42.8984375" customWidth="1" style="82" min="2" max="2"/>
    <col width="1.19921875" customWidth="1" style="82" min="3" max="3"/>
    <col width="43.19921875" customWidth="1" style="82" min="4" max="4"/>
    <col width="1.19921875" customWidth="1" style="82" min="5" max="5"/>
    <col width="9.09765625" customWidth="1" style="82" min="6" max="7"/>
    <col width="28.8984375" customWidth="1" style="82" min="8" max="8"/>
    <col width="9.09765625" customWidth="1" style="82" min="9" max="9"/>
    <col width="44.8984375" customWidth="1" style="82" min="10" max="10"/>
  </cols>
  <sheetData>
    <row r="1" ht="39" customHeight="1" s="82">
      <c r="A1" s="118" t="n"/>
      <c r="C1" s="99" t="n"/>
      <c r="D1" s="99" t="n"/>
      <c r="E1" s="99" t="n"/>
      <c r="F1" s="99" t="n"/>
      <c r="G1" s="99" t="n"/>
      <c r="H1" s="99" t="n"/>
      <c r="I1" s="99" t="n"/>
      <c r="J1" s="99" t="n"/>
      <c r="K1" s="33" t="n"/>
      <c r="L1" s="33" t="n"/>
    </row>
    <row r="2" ht="45.75" customHeight="1" s="82">
      <c r="A2" s="105" t="inlineStr">
        <is>
          <t>Grille d'évaluation : "Communiquer sur les réseaux sociaux pour promouvoir sa TPE" - RS7200</t>
        </is>
      </c>
      <c r="K2" s="119" t="n"/>
    </row>
    <row r="3" ht="14.25" customHeight="1" s="82">
      <c r="A3" s="35" t="n"/>
      <c r="B3" s="87" t="n"/>
      <c r="C3" s="37" t="n"/>
      <c r="D3" s="87" t="n"/>
      <c r="E3" s="87" t="n"/>
      <c r="F3" s="87" t="n"/>
      <c r="G3" s="87" t="n"/>
      <c r="H3" s="75" t="n"/>
      <c r="I3" s="1" t="n"/>
      <c r="J3" s="88" t="n"/>
      <c r="K3" s="33" t="n"/>
      <c r="L3" s="33" t="n"/>
    </row>
    <row r="4" ht="14.25" customHeight="1" s="82">
      <c r="A4" s="35" t="n"/>
      <c r="B4" s="87" t="inlineStr">
        <is>
          <t>Nom du candidat :</t>
        </is>
      </c>
      <c r="C4" s="37" t="n"/>
      <c r="D4" s="87">
        <f>IF('Ordre de passage'!C14="","",'Ordre de passage'!C14)</f>
        <v/>
      </c>
      <c r="E4" s="87" t="n"/>
      <c r="F4" s="106" t="inlineStr">
        <is>
          <t>Date :</t>
        </is>
      </c>
      <c r="H4" s="38">
        <f>IF('Ordre de passage'!D5="","",'Ordre de passage'!D5)</f>
        <v/>
      </c>
      <c r="I4" s="107" t="inlineStr">
        <is>
          <t>Important : renseigner les cellules de couleurs grises</t>
        </is>
      </c>
      <c r="K4" s="33" t="n"/>
      <c r="L4" s="33" t="n"/>
    </row>
    <row r="5" ht="14.25" customHeight="1" s="82">
      <c r="A5" s="35" t="n"/>
      <c r="B5" s="87" t="inlineStr">
        <is>
          <t>Prénom du candidat :</t>
        </is>
      </c>
      <c r="C5" s="97" t="n"/>
      <c r="D5" s="87">
        <f>IF('Ordre de passage'!D14="","",'Ordre de passage'!D14)</f>
        <v/>
      </c>
      <c r="E5" s="35" t="n"/>
      <c r="F5" s="35" t="n"/>
      <c r="H5" s="41" t="n"/>
      <c r="I5" s="41" t="n"/>
      <c r="J5" s="42" t="inlineStr">
        <is>
          <t>Commentaire obligatoire pour les critères que le candidat ne valide pas</t>
        </is>
      </c>
      <c r="K5" s="33" t="n"/>
      <c r="L5" s="33" t="n"/>
    </row>
    <row r="6" ht="14.25" customHeight="1" s="82">
      <c r="A6" s="43" t="n"/>
      <c r="B6" s="87" t="inlineStr">
        <is>
          <t>Heure de passage :</t>
        </is>
      </c>
      <c r="C6" s="37" t="n"/>
      <c r="D6" s="87">
        <f>IF('Ordre de passage'!B14="","",'Ordre de passage'!B14)</f>
        <v/>
      </c>
      <c r="E6" s="44" t="n"/>
      <c r="F6" s="44" t="n"/>
      <c r="G6" s="44" t="n"/>
      <c r="H6" s="44" t="n"/>
      <c r="I6" s="1" t="n"/>
      <c r="J6" s="33" t="n"/>
      <c r="K6" s="33" t="n"/>
      <c r="L6" s="33" t="n"/>
    </row>
    <row r="7" ht="39.75" customHeight="1" s="82">
      <c r="A7" s="45" t="n"/>
      <c r="B7" s="46" t="inlineStr">
        <is>
          <t>Compétences</t>
        </is>
      </c>
      <c r="C7" s="46" t="n"/>
      <c r="D7" s="46" t="inlineStr">
        <is>
          <t>Critères</t>
        </is>
      </c>
      <c r="E7" s="46" t="n"/>
      <c r="F7" s="47" t="inlineStr">
        <is>
          <t>Pts Max.</t>
        </is>
      </c>
      <c r="G7" s="48" t="inlineStr">
        <is>
          <t>Note Jury 1</t>
        </is>
      </c>
      <c r="H7" s="48" t="inlineStr">
        <is>
          <t>Commentaires Jury 1</t>
        </is>
      </c>
      <c r="I7" s="48" t="inlineStr">
        <is>
          <t>Note Jury 2</t>
        </is>
      </c>
      <c r="J7" s="48" t="inlineStr">
        <is>
          <t>Commentaires Jury 2</t>
        </is>
      </c>
      <c r="K7" s="33" t="n"/>
      <c r="L7" s="33" t="n"/>
    </row>
    <row r="8" ht="89.25" customHeight="1" s="82">
      <c r="A8" s="49" t="inlineStr">
        <is>
          <t>C1</t>
        </is>
      </c>
      <c r="B8" s="50" t="inlineStr">
        <is>
          <t>Définir une stratégie sur les réseaux sociaux, adaptée aux ressources mobilisables par la TPE et en lien avec son activité, son public cible et ses objectifs commerciaux, afin d’élaborer un plan d’action pertinent à la mesure des capacités financières et temporelles données au projet.</t>
        </is>
      </c>
      <c r="C8" s="51" t="n"/>
      <c r="D8" s="50" t="inlineStr">
        <is>
          <t>Cr1. Le plan d’action proposé par le candidat est en cohérence avec : 
- L’objectif visé
- La ou les cible(s) visée (es)
- La ou les période(s) de communication à exploiter
- Le budget alloué</t>
        </is>
      </c>
      <c r="E8" s="51" t="n"/>
      <c r="F8" s="52" t="n">
        <v>4</v>
      </c>
      <c r="G8" s="53" t="n"/>
      <c r="H8" s="54" t="n"/>
      <c r="I8" s="53" t="n"/>
      <c r="J8" s="54" t="n"/>
      <c r="K8" s="33" t="n"/>
      <c r="L8" s="33" t="n"/>
    </row>
    <row r="9" ht="77.25" customHeight="1" s="82">
      <c r="A9" s="49" t="inlineStr">
        <is>
          <t>C2</t>
        </is>
      </c>
      <c r="B9" s="50" t="inlineStr">
        <is>
          <t>Identifier la ou les plateforme(s) de réseaux sociaux en comparant leurs positionnements sur le marché, en s’assurant de leur correspondance avec son public cible et en prenant en compte les pratiques de la concurrence afin d’identifier les bonnes communautés.</t>
        </is>
      </c>
      <c r="C9" s="51" t="n"/>
      <c r="D9" s="50" t="inlineStr">
        <is>
          <t>Cr2. L’analyse de marché primaire réalisée permet de vérifier que le public visé correspond à la cible du produit / ou services et permet d’identifier le bon positionnement par rapport à la concurrence donnant l’avantage concurrentiel.</t>
        </is>
      </c>
      <c r="E9" s="51" t="n"/>
      <c r="F9" s="52" t="n">
        <v>3</v>
      </c>
      <c r="G9" s="53" t="n"/>
      <c r="H9" s="54" t="n"/>
      <c r="I9" s="53" t="n"/>
      <c r="J9" s="54" t="n"/>
      <c r="K9" s="33" t="n"/>
      <c r="L9" s="33" t="n"/>
    </row>
    <row r="10" ht="159.75" customHeight="1" s="82">
      <c r="A10" s="49" t="inlineStr">
        <is>
          <t>C3</t>
        </is>
      </c>
      <c r="B10" s="50" t="inlineStr">
        <is>
          <t>Créer et concevoir une page de présentation de son entreprise TPE sur les réseaux sociaux choisis, en intégrant les éléments de nom et d’identité visuelle pour l’ancrer dans le réseau social.</t>
        </is>
      </c>
      <c r="C10" s="51" t="n"/>
      <c r="D10" s="50" t="inlineStr">
        <is>
          <t>Cr3.1. Le modèle du profil dirigeant conçu par le candidat respecte le nom et l’identité visuelle du projet d’entreprise et est adapté dans son format aux normes et usages du réseau social.
Cr3.2. La page professionnelle du candidat :
- Est complétée et paramétrée sur le réseau social choisi
- Présente des contenus multimédias de qualité et harmonieux
- Prend en compte les situations de handicap (plan d’accès, mode de contact)</t>
        </is>
      </c>
      <c r="E10" s="51" t="n"/>
      <c r="F10" s="52" t="n">
        <v>3</v>
      </c>
      <c r="G10" s="53" t="n"/>
      <c r="H10" s="54" t="n"/>
      <c r="I10" s="53" t="n"/>
      <c r="J10" s="54" t="n"/>
      <c r="K10" s="33" t="n"/>
      <c r="L10" s="33" t="n"/>
    </row>
    <row r="11" ht="75.75" customHeight="1" s="82">
      <c r="A11" s="49" t="inlineStr">
        <is>
          <t>C4</t>
        </is>
      </c>
      <c r="B11" s="50" t="inlineStr">
        <is>
          <t>Elaborer une stratégie éditoriale en tenant compte des spécificités propres à la TPE (objectifs qualitatifs, quantitatifs et temporels) afin d’établir un planning d’actions et ainsi organiser une régularité dans la ligne éditoriale.</t>
        </is>
      </c>
      <c r="C11" s="51" t="n"/>
      <c r="D11" s="50" t="inlineStr">
        <is>
          <t>Cr4. Le planning est élaboré de façon à permettre une régularité et un rythme dans les objectifs de publication de promotion de l’activité produits et/ou services.</t>
        </is>
      </c>
      <c r="E11" s="51" t="n"/>
      <c r="F11" s="52" t="n">
        <v>4</v>
      </c>
      <c r="G11" s="53" t="n"/>
      <c r="H11" s="54" t="n"/>
      <c r="I11" s="53" t="n"/>
      <c r="J11" s="54" t="n"/>
      <c r="K11" s="33" t="n"/>
      <c r="L11" s="33" t="n"/>
    </row>
    <row r="12" ht="117" customHeight="1" s="82">
      <c r="A12" s="49" t="inlineStr">
        <is>
          <t>C5</t>
        </is>
      </c>
      <c r="B12" s="50" t="inlineStr">
        <is>
          <t>Animer la page de son entreprise TPE en publiant des posts (du contenu commercial, des informations sur les produits et sur l’entreprise, du contenu multimédia) en apportant des adaptations en fonction des différentes situations de handicap qui peuvent être prises en compte (sous-titrage par exemple) et en utilisant un ton en correspondance avec la communauté visée afin de générer des actions, des réactions ou des interactions du(des) public(s) visé(s).</t>
        </is>
      </c>
      <c r="C12" s="51" t="n"/>
      <c r="D12" s="50" t="inlineStr">
        <is>
          <t>Cr5. La publication est correctement rédigée : 
- Le ton employé est dans l’esprit du réseau social concerné
- La thématique choisie est en cohérence avec le projet de promotion des produits et/ou services de l’entreprise</t>
        </is>
      </c>
      <c r="E12" s="51" t="n"/>
      <c r="F12" s="52" t="n">
        <v>3</v>
      </c>
      <c r="G12" s="53" t="n"/>
      <c r="H12" s="54" t="n"/>
      <c r="I12" s="53" t="n"/>
      <c r="J12" s="54" t="n"/>
      <c r="K12" s="33" t="n"/>
      <c r="L12" s="33" t="n"/>
    </row>
    <row r="13" ht="185.25" customHeight="1" s="82">
      <c r="A13" s="49" t="inlineStr">
        <is>
          <t>C6</t>
        </is>
      </c>
      <c r="B13" s="50" t="inlineStr">
        <is>
          <t>Cultiver la e-réputation de son entreprise TPE en mettant en place des actions publicitaires sur le réseau social concerné, en répondant aux avis, commentaires et critiques publiés par la communauté dans la page de l’entreprise, en sélectionnant des e-influenceurs et en suivant les données transmises par le réseau social concerné afin d’attirer davantage de public(s) visé(s) et d’optimiser la performance de ses publications</t>
        </is>
      </c>
      <c r="C13" s="51" t="n"/>
      <c r="D13" s="50" t="inlineStr">
        <is>
          <t>Cr6.1. Le candidat réalise correctement la campagne publicitaire sur l’outil de création de campagne du réseau social. Le candidat remplit les champs nécessaires en restant aligné avec : 
- La cible prédéfinie
- Les informations relatives à l’entreprise
- Le budget
- La date de lancement de la campagne
- Le contenu de la publication 
Cr6.2. Le candidat tient compte des potentielles situations de handicap des membres de sa communauté dans ses réponses.</t>
        </is>
      </c>
      <c r="E13" s="51" t="n"/>
      <c r="F13" s="52" t="n">
        <v>3</v>
      </c>
      <c r="G13" s="53" t="n"/>
      <c r="H13" s="54" t="n"/>
      <c r="I13" s="53" t="n"/>
      <c r="J13" s="54" t="n"/>
      <c r="K13" s="33" t="n"/>
      <c r="L13" s="33" t="n"/>
    </row>
    <row r="14" ht="27.75" customHeight="1" s="82">
      <c r="A14" s="108" t="inlineStr">
        <is>
          <t>TOTAL  (note sur 60)</t>
        </is>
      </c>
      <c r="E14" s="89" t="n"/>
      <c r="F14" s="56">
        <f>SUM(F8:F13)</f>
        <v/>
      </c>
      <c r="G14" s="57">
        <f>SUM(G8:G13)</f>
        <v/>
      </c>
      <c r="H14" s="33" t="n"/>
      <c r="I14" s="57">
        <f>SUM(I8:I13)</f>
        <v/>
      </c>
      <c r="J14" s="33" t="n"/>
      <c r="K14" s="33" t="n"/>
      <c r="L14" s="33" t="n"/>
    </row>
    <row r="15" ht="34.5" customHeight="1" s="82">
      <c r="A15" s="43" t="n"/>
      <c r="B15" s="109" t="inlineStr">
        <is>
          <t>L’obtention d’une note minimale de 10/20 permet la validation du parcours
(attention, la moyenne est calculée pour 3 jurés, à changer si uniquement 2 membres)</t>
        </is>
      </c>
      <c r="E15" s="59" t="n"/>
      <c r="F15" s="60">
        <f>(G14+I14)/2</f>
        <v/>
      </c>
      <c r="G15" s="61" t="n"/>
      <c r="H15" s="61" t="n"/>
      <c r="I15" s="33" t="n"/>
      <c r="J15" s="33" t="n"/>
      <c r="K15" s="33" t="n"/>
      <c r="L15" s="33" t="n"/>
    </row>
    <row r="16" ht="24.75" customHeight="1" s="82">
      <c r="A16" s="43" t="n"/>
      <c r="C16" s="62" t="n"/>
      <c r="D16" s="62" t="n"/>
      <c r="E16" s="91" t="n"/>
      <c r="F16" s="110" t="inlineStr">
        <is>
          <t>Note finale</t>
        </is>
      </c>
      <c r="H16" s="61" t="n"/>
      <c r="I16" s="33" t="n"/>
      <c r="J16" s="33" t="n"/>
      <c r="K16" s="33" t="n"/>
      <c r="L16" s="33" t="n"/>
    </row>
    <row r="17" ht="27.75" customHeight="1" s="82">
      <c r="A17" s="43" t="n"/>
      <c r="B17" s="62" t="inlineStr">
        <is>
          <t>Nom et prénom des évaluateurs</t>
        </is>
      </c>
      <c r="C17" s="62" t="n"/>
      <c r="G17" s="64" t="n"/>
      <c r="H17" s="64" t="n"/>
      <c r="I17" s="33" t="n"/>
      <c r="J17" s="33" t="n"/>
      <c r="K17" s="33" t="n"/>
      <c r="L17" s="33" t="n"/>
    </row>
    <row r="18" ht="27.75" customHeight="1" s="82">
      <c r="A18" s="43" t="n"/>
      <c r="B18" s="90">
        <f>'Ordre de passage'!F4</f>
        <v/>
      </c>
      <c r="D18" s="90">
        <f>'Ordre de passage'!G4</f>
        <v/>
      </c>
      <c r="E18" s="90" t="n"/>
      <c r="F18" s="109" t="n"/>
      <c r="I18" s="33" t="n"/>
      <c r="J18" s="33" t="n"/>
      <c r="K18" s="33" t="n"/>
      <c r="L18" s="33" t="n"/>
    </row>
    <row r="19" ht="8.25" customHeight="1" s="82">
      <c r="A19" s="43" t="n"/>
      <c r="E19" s="65" t="n"/>
      <c r="F19" s="65" t="n"/>
      <c r="G19" s="65" t="n"/>
      <c r="H19" s="65" t="n"/>
      <c r="I19" s="33" t="n"/>
      <c r="J19" s="33" t="n"/>
      <c r="K19" s="33" t="n"/>
      <c r="L19" s="33" t="n"/>
    </row>
    <row r="20" ht="25.5" customHeight="1" s="82">
      <c r="A20" s="43" t="n"/>
      <c r="B20" s="84" t="inlineStr">
        <is>
          <t>Appréciation générale Jury 1</t>
        </is>
      </c>
      <c r="C20" s="67" t="n"/>
      <c r="D20" s="84" t="inlineStr">
        <is>
          <t>Appréciation générale Jury 2</t>
        </is>
      </c>
      <c r="E20" s="84" t="n"/>
      <c r="F20" s="111" t="n"/>
      <c r="I20" s="33" t="n"/>
      <c r="J20" s="84" t="n"/>
      <c r="K20" s="33" t="n"/>
      <c r="L20" s="33" t="n"/>
    </row>
    <row r="21" ht="14.4" customHeight="1" s="82">
      <c r="A21" s="43" t="n"/>
      <c r="B21" s="112" t="n"/>
      <c r="C21" s="43" t="n"/>
      <c r="D21" s="120" t="n"/>
      <c r="E21" s="43" t="n"/>
      <c r="F21" s="85" t="n"/>
      <c r="G21" s="115" t="n"/>
      <c r="I21" s="33" t="n"/>
      <c r="J21" s="121" t="inlineStr">
        <is>
          <t xml:space="preserve">Signature de l'organisme </t>
        </is>
      </c>
      <c r="K21" s="33" t="n"/>
      <c r="L21" s="33" t="n"/>
    </row>
    <row r="22" ht="14.25" customHeight="1" s="82">
      <c r="A22" s="43" t="n"/>
      <c r="C22" s="67" t="n"/>
      <c r="E22" s="65" t="n"/>
      <c r="I22" s="33" t="n"/>
      <c r="K22" s="33" t="n"/>
      <c r="L22" s="33" t="n"/>
    </row>
    <row r="23"/>
    <row r="24"/>
    <row r="25"/>
    <row r="26"/>
    <row r="27"/>
    <row r="28"/>
  </sheetData>
  <mergeCells count="14">
    <mergeCell ref="F20:H20"/>
    <mergeCell ref="F4:G4"/>
    <mergeCell ref="G21:H21"/>
    <mergeCell ref="K2:T2"/>
    <mergeCell ref="I4:J4"/>
    <mergeCell ref="F18:H18"/>
    <mergeCell ref="F16:G16"/>
    <mergeCell ref="B21:B28"/>
    <mergeCell ref="D21:D28"/>
    <mergeCell ref="J21:J22"/>
    <mergeCell ref="A1:B1"/>
    <mergeCell ref="A2:J2"/>
    <mergeCell ref="B15:D15"/>
    <mergeCell ref="A14:D14"/>
  </mergeCells>
  <conditionalFormatting sqref="B18 D18">
    <cfRule type="containsBlanks" priority="7" dxfId="0">
      <formula>LEN(TRIM(B18))=0</formula>
    </cfRule>
  </conditionalFormatting>
  <conditionalFormatting sqref="B21:B28 D21:D28">
    <cfRule type="containsBlanks" priority="1" dxfId="0">
      <formula>LEN(TRIM(B21))=0</formula>
    </cfRule>
  </conditionalFormatting>
  <conditionalFormatting sqref="D4:D6">
    <cfRule type="containsBlanks" priority="5" dxfId="0">
      <formula>LEN(TRIM(D4))=0</formula>
    </cfRule>
  </conditionalFormatting>
  <conditionalFormatting sqref="F15">
    <cfRule type="cellIs" priority="2" operator="lessThan" dxfId="3">
      <formula>10</formula>
    </cfRule>
    <cfRule type="cellIs" priority="3" operator="greaterThanOrEqual" dxfId="2">
      <formula>10</formula>
    </cfRule>
  </conditionalFormatting>
  <conditionalFormatting sqref="G8:J13">
    <cfRule type="containsBlanks" priority="4" dxfId="0">
      <formula>LEN(TRIM(G8))=0</formula>
    </cfRule>
  </conditionalFormatting>
  <conditionalFormatting sqref="H4">
    <cfRule type="containsBlanks" priority="6" dxfId="0">
      <formula>LEN(TRIM(H4))=0</formula>
    </cfRule>
  </conditionalFormatting>
  <pageMargins left="0.265625" right="0.8116319444444444" top="0.9296875" bottom="0.7378472222222222" header="0" footer="0"/>
  <pageSetup orientation="portrait" scale="40"/>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T27"/>
  <sheetViews>
    <sheetView showGridLines="0" workbookViewId="0">
      <selection activeCell="A3" sqref="A3"/>
    </sheetView>
  </sheetViews>
  <sheetFormatPr baseColWidth="10" defaultColWidth="12.59765625" defaultRowHeight="15" customHeight="1"/>
  <cols>
    <col width="4.69921875" customWidth="1" style="82" min="1" max="1"/>
    <col width="42.8984375" customWidth="1" style="82" min="2" max="2"/>
    <col width="1.19921875" customWidth="1" style="82" min="3" max="3"/>
    <col width="43.19921875" customWidth="1" style="82" min="4" max="4"/>
    <col width="1.19921875" customWidth="1" style="82" min="5" max="5"/>
    <col width="9.09765625" customWidth="1" style="82" min="6" max="7"/>
    <col width="28.8984375" customWidth="1" style="82" min="8" max="8"/>
    <col width="9.09765625" customWidth="1" style="82" min="9" max="9"/>
    <col width="44.19921875" customWidth="1" style="82" min="10" max="10"/>
  </cols>
  <sheetData>
    <row r="1" ht="39" customHeight="1" s="82">
      <c r="A1" s="118" t="n"/>
      <c r="C1" s="99" t="n"/>
      <c r="D1" s="99" t="n"/>
      <c r="E1" s="99" t="n"/>
      <c r="F1" s="99" t="n"/>
      <c r="G1" s="99" t="n"/>
      <c r="H1" s="99" t="n"/>
      <c r="I1" s="99" t="n"/>
      <c r="J1" s="99" t="n"/>
      <c r="K1" s="33" t="n"/>
      <c r="L1" s="33" t="n"/>
    </row>
    <row r="2" ht="39.75" customHeight="1" s="82">
      <c r="A2" s="105" t="inlineStr">
        <is>
          <t>Grille d'évaluation : "Communiquer sur les réseaux sociaux pour promouvoir sa TPE" - RS7200</t>
        </is>
      </c>
      <c r="K2" s="122" t="n"/>
    </row>
    <row r="3" ht="14.25" customHeight="1" s="82">
      <c r="A3" s="35" t="n"/>
      <c r="B3" s="87" t="n"/>
      <c r="C3" s="37" t="n"/>
      <c r="D3" s="87" t="n"/>
      <c r="E3" s="87" t="n"/>
      <c r="F3" s="87" t="n"/>
      <c r="G3" s="87" t="n"/>
      <c r="H3" s="75" t="n"/>
      <c r="I3" s="1" t="n"/>
      <c r="J3" s="88" t="n"/>
      <c r="K3" s="33" t="n"/>
      <c r="L3" s="33" t="n"/>
    </row>
    <row r="4" ht="14.25" customHeight="1" s="82">
      <c r="A4" s="35" t="n"/>
      <c r="B4" s="87" t="inlineStr">
        <is>
          <t>Nom du candidat :</t>
        </is>
      </c>
      <c r="C4" s="37" t="n"/>
      <c r="D4" s="87">
        <f>IF('Ordre de passage'!C15="","",'Ordre de passage'!C15)</f>
        <v/>
      </c>
      <c r="E4" s="87" t="n"/>
      <c r="F4" s="106" t="inlineStr">
        <is>
          <t>Date :</t>
        </is>
      </c>
      <c r="H4" s="38">
        <f>IF('Ordre de passage'!D5="","",'Ordre de passage'!D5)</f>
        <v/>
      </c>
      <c r="I4" s="107" t="inlineStr">
        <is>
          <t>Important : renseigner les cellules de couleurs grises</t>
        </is>
      </c>
      <c r="K4" s="33" t="n"/>
      <c r="L4" s="33" t="n"/>
    </row>
    <row r="5" ht="14.25" customHeight="1" s="82">
      <c r="A5" s="35" t="n"/>
      <c r="B5" s="87" t="inlineStr">
        <is>
          <t>Prénom du candidat :</t>
        </is>
      </c>
      <c r="C5" s="97" t="n"/>
      <c r="D5" s="87">
        <f>IF('Ordre de passage'!D15="","",'Ordre de passage'!D15)</f>
        <v/>
      </c>
      <c r="E5" s="35" t="n"/>
      <c r="F5" s="35" t="n"/>
      <c r="H5" s="41" t="n"/>
      <c r="I5" s="41" t="n"/>
      <c r="J5" s="42" t="inlineStr">
        <is>
          <t>Commentaire obligatoire pour les critères que le candidat ne valide pas</t>
        </is>
      </c>
      <c r="K5" s="33" t="n"/>
      <c r="L5" s="33" t="n"/>
    </row>
    <row r="6" ht="14.25" customHeight="1" s="82">
      <c r="A6" s="43" t="n"/>
      <c r="B6" s="87" t="inlineStr">
        <is>
          <t>Heure de passage :</t>
        </is>
      </c>
      <c r="C6" s="37" t="n"/>
      <c r="D6" s="87">
        <f>IF('Ordre de passage'!B15="","",'Ordre de passage'!B15)</f>
        <v/>
      </c>
      <c r="E6" s="44" t="n"/>
      <c r="F6" s="44" t="n"/>
      <c r="G6" s="44" t="n"/>
      <c r="H6" s="44" t="n"/>
      <c r="I6" s="1" t="n"/>
      <c r="J6" s="33" t="n"/>
      <c r="K6" s="33" t="n"/>
      <c r="L6" s="33" t="n"/>
    </row>
    <row r="7" ht="39.75" customHeight="1" s="82">
      <c r="A7" s="45" t="n"/>
      <c r="B7" s="46" t="inlineStr">
        <is>
          <t>Compétences</t>
        </is>
      </c>
      <c r="C7" s="46" t="n"/>
      <c r="D7" s="46" t="inlineStr">
        <is>
          <t>Critères</t>
        </is>
      </c>
      <c r="E7" s="46" t="n"/>
      <c r="F7" s="47" t="inlineStr">
        <is>
          <t>Pts Max.</t>
        </is>
      </c>
      <c r="G7" s="48" t="inlineStr">
        <is>
          <t>Note Jury 1</t>
        </is>
      </c>
      <c r="H7" s="48" t="inlineStr">
        <is>
          <t>Commentaires Jury 1</t>
        </is>
      </c>
      <c r="I7" s="48" t="inlineStr">
        <is>
          <t>Note Jury 2</t>
        </is>
      </c>
      <c r="J7" s="48" t="inlineStr">
        <is>
          <t>Commentaires Jury 2</t>
        </is>
      </c>
      <c r="K7" s="33" t="n"/>
      <c r="L7" s="33" t="n"/>
    </row>
    <row r="8" ht="89.25" customHeight="1" s="82">
      <c r="A8" s="49" t="inlineStr">
        <is>
          <t>C1</t>
        </is>
      </c>
      <c r="B8" s="50" t="inlineStr">
        <is>
          <t>Définir une stratégie sur les réseaux sociaux, adaptée aux ressources mobilisables par la TPE et en lien avec son activité, son public cible et ses objectifs commerciaux, afin d’élaborer un plan d’action pertinent à la mesure des capacités financières et temporelles données au projet.</t>
        </is>
      </c>
      <c r="C8" s="51" t="n"/>
      <c r="D8" s="50" t="inlineStr">
        <is>
          <t>Cr1. Le plan d’action proposé par le candidat est en cohérence avec : 
- L’objectif visé
- La ou les cible(s) visée (es)
- La ou les période(s) de communication à exploiter
- Le budget alloué</t>
        </is>
      </c>
      <c r="E8" s="51" t="n"/>
      <c r="F8" s="52" t="n">
        <v>4</v>
      </c>
      <c r="G8" s="53" t="n"/>
      <c r="H8" s="54" t="n"/>
      <c r="I8" s="53" t="n"/>
      <c r="J8" s="54" t="n"/>
      <c r="K8" s="33" t="n"/>
      <c r="L8" s="33" t="n"/>
    </row>
    <row r="9" ht="77.25" customHeight="1" s="82">
      <c r="A9" s="49" t="inlineStr">
        <is>
          <t>C2</t>
        </is>
      </c>
      <c r="B9" s="50" t="inlineStr">
        <is>
          <t>Identifier la ou les plateforme(s) de réseaux sociaux en comparant leurs positionnements sur le marché, en s’assurant de leur correspondance avec son public cible et en prenant en compte les pratiques de la concurrence afin d’identifier les bonnes communautés.</t>
        </is>
      </c>
      <c r="C9" s="51" t="n"/>
      <c r="D9" s="50" t="inlineStr">
        <is>
          <t>Cr2. L’analyse de marché primaire réalisée permet de vérifier que le public visé correspond à la cible du produit / ou services et permet d’identifier le bon positionnement par rapport à la concurrence donnant l’avantage concurrentiel.</t>
        </is>
      </c>
      <c r="E9" s="51" t="n"/>
      <c r="F9" s="52" t="n">
        <v>3</v>
      </c>
      <c r="G9" s="53" t="n"/>
      <c r="H9" s="54" t="n"/>
      <c r="I9" s="53" t="n"/>
      <c r="J9" s="54" t="n"/>
      <c r="K9" s="33" t="n"/>
      <c r="L9" s="33" t="n"/>
    </row>
    <row r="10" ht="159.75" customHeight="1" s="82">
      <c r="A10" s="49" t="inlineStr">
        <is>
          <t>C3</t>
        </is>
      </c>
      <c r="B10" s="50" t="inlineStr">
        <is>
          <t>Créer et concevoir une page de présentation de son entreprise TPE sur les réseaux sociaux choisis, en intégrant les éléments de nom et d’identité visuelle pour l’ancrer dans le réseau social.</t>
        </is>
      </c>
      <c r="C10" s="51" t="n"/>
      <c r="D10" s="50" t="inlineStr">
        <is>
          <t>Cr3.1. Le modèle du profil dirigeant conçu par le candidat respecte le nom et l’identité visuelle du projet d’entreprise et est adapté dans son format aux normes et usages du réseau social.
Cr3.2. La page professionnelle du candidat :
- Est complétée et paramétrée sur le réseau social choisi
- Présente des contenus multimédias de qualité et harmonieux
- Prend en compte les situations de handicap (plan d’accès, mode de contact)</t>
        </is>
      </c>
      <c r="E10" s="51" t="n"/>
      <c r="F10" s="52" t="n">
        <v>3</v>
      </c>
      <c r="G10" s="53" t="n"/>
      <c r="H10" s="54" t="n"/>
      <c r="I10" s="53" t="n"/>
      <c r="J10" s="54" t="n"/>
      <c r="K10" s="33" t="n"/>
      <c r="L10" s="33" t="n"/>
    </row>
    <row r="11" ht="52.8" customHeight="1" s="82">
      <c r="A11" s="49" t="inlineStr">
        <is>
          <t>C4</t>
        </is>
      </c>
      <c r="B11" s="50" t="inlineStr">
        <is>
          <t>Elaborer une stratégie éditoriale en tenant compte des spécificités propres à la TPE (objectifs qualitatifs, quantitatifs et temporels) afin d’établir un planning d’actions et ainsi organiser une régularité dans la ligne éditoriale.</t>
        </is>
      </c>
      <c r="C11" s="51" t="n"/>
      <c r="D11" s="50" t="inlineStr">
        <is>
          <t>Cr4. Le planning est élaboré de façon à permettre une régularité et un rythme dans les objectifs de publication de promotion de l’activité produits et/ou services.</t>
        </is>
      </c>
      <c r="E11" s="51" t="n"/>
      <c r="F11" s="52" t="n">
        <v>4</v>
      </c>
      <c r="G11" s="53" t="n"/>
      <c r="H11" s="54" t="n"/>
      <c r="I11" s="53" t="n"/>
      <c r="J11" s="54" t="n"/>
      <c r="K11" s="33" t="n"/>
      <c r="L11" s="33" t="n"/>
    </row>
    <row r="12" ht="117" customHeight="1" s="82">
      <c r="A12" s="49" t="inlineStr">
        <is>
          <t>C5</t>
        </is>
      </c>
      <c r="B12" s="50" t="inlineStr">
        <is>
          <t>Animer la page de son entreprise TPE en publiant des posts (du contenu commercial, des informations sur les produits et sur l’entreprise, du contenu multimédia) en apportant des adaptations en fonction des différentes situations de handicap qui peuvent être prises en compte (sous-titrage par exemple) et en utilisant un ton en correspondance avec la communauté visée afin de générer des actions, des réactions ou des interactions du(des) public(s) visé(s).</t>
        </is>
      </c>
      <c r="C12" s="51" t="n"/>
      <c r="D12" s="50" t="inlineStr">
        <is>
          <t>Cr5. La publication est correctement rédigée : 
- Le ton employé est dans l’esprit du réseau social concerné
- La thématique choisie est en cohérence avec le projet de promotion des produits et/ou services de l’entreprise</t>
        </is>
      </c>
      <c r="E12" s="51" t="n"/>
      <c r="F12" s="52" t="n">
        <v>3</v>
      </c>
      <c r="G12" s="53" t="n"/>
      <c r="H12" s="54" t="n"/>
      <c r="I12" s="53" t="n"/>
      <c r="J12" s="54" t="n"/>
      <c r="K12" s="33" t="n"/>
      <c r="L12" s="33" t="n"/>
    </row>
    <row r="13" ht="185.25" customHeight="1" s="82">
      <c r="A13" s="49" t="inlineStr">
        <is>
          <t>C6</t>
        </is>
      </c>
      <c r="B13" s="50" t="inlineStr">
        <is>
          <t>Cultiver la e-réputation de son entreprise TPE en mettant en place des actions publicitaires sur le réseau social concerné, en répondant aux avis, commentaires et critiques publiés par la communauté dans la page de l’entreprise, en sélectionnant des e-influenceurs et en suivant les données transmises par le réseau social concerné afin d’attirer davantage de public(s) visé(s) et d’optimiser la performance de ses publications</t>
        </is>
      </c>
      <c r="C13" s="51" t="n"/>
      <c r="D13" s="50" t="inlineStr">
        <is>
          <t>Cr6.1. Le candidat réalise correctement la campagne publicitaire sur l’outil de création de campagne du réseau social. Le candidat remplit les champs nécessaires en restant aligné avec : 
- La cible prédéfinie
- Les informations relatives à l’entreprise
- Le budget
- La date de lancement de la campagne
- Le contenu de la publication 
Cr6.2. Le candidat tient compte des potentielles situations de handicap des membres de sa communauté dans ses réponses.</t>
        </is>
      </c>
      <c r="E13" s="51" t="n"/>
      <c r="F13" s="52" t="n">
        <v>3</v>
      </c>
      <c r="G13" s="53" t="n"/>
      <c r="H13" s="54" t="n"/>
      <c r="I13" s="53" t="n"/>
      <c r="J13" s="54" t="n"/>
      <c r="K13" s="33" t="n"/>
      <c r="L13" s="33" t="n"/>
    </row>
    <row r="14" ht="27.75" customHeight="1" s="82">
      <c r="A14" s="108" t="inlineStr">
        <is>
          <t>TOTAL  (note sur 60)</t>
        </is>
      </c>
      <c r="E14" s="89" t="n"/>
      <c r="F14" s="56">
        <f>SUM(F8:F13)</f>
        <v/>
      </c>
      <c r="G14" s="57">
        <f>SUM(G8:G13)</f>
        <v/>
      </c>
      <c r="H14" s="33" t="n"/>
      <c r="I14" s="57">
        <f>SUM(I8:I13)</f>
        <v/>
      </c>
      <c r="J14" s="33" t="n"/>
      <c r="K14" s="33" t="n"/>
      <c r="L14" s="33" t="n"/>
    </row>
    <row r="15" ht="34.5" customHeight="1" s="82">
      <c r="A15" s="43" t="n"/>
      <c r="B15" s="109" t="inlineStr">
        <is>
          <t>L’obtention d’une note minimale de 10/20 permet la validation du parcours
(attention, la moyenne est calculée pour 3 jurés, à changer si uniquement 2 membres)</t>
        </is>
      </c>
      <c r="E15" s="59" t="n"/>
      <c r="F15" s="60">
        <f>(G14+I14)/2</f>
        <v/>
      </c>
      <c r="G15" s="61" t="n"/>
      <c r="H15" s="61" t="n"/>
      <c r="I15" s="33" t="n"/>
      <c r="J15" s="33" t="n"/>
      <c r="K15" s="33" t="n"/>
      <c r="L15" s="33" t="n"/>
    </row>
    <row r="16" ht="24.75" customHeight="1" s="82">
      <c r="A16" s="43" t="n"/>
      <c r="C16" s="62" t="n"/>
      <c r="D16" s="62" t="n"/>
      <c r="E16" s="91" t="n"/>
      <c r="F16" s="110" t="inlineStr">
        <is>
          <t>Note finale</t>
        </is>
      </c>
      <c r="H16" s="61" t="n"/>
      <c r="I16" s="33" t="n"/>
      <c r="J16" s="33" t="n"/>
      <c r="K16" s="33" t="n"/>
      <c r="L16" s="33" t="n"/>
    </row>
    <row r="17" ht="27.75" customHeight="1" s="82">
      <c r="A17" s="43" t="n"/>
      <c r="B17" s="62" t="inlineStr">
        <is>
          <t>Nom et prénom des évaluateurs</t>
        </is>
      </c>
      <c r="C17" s="62" t="n"/>
      <c r="G17" s="64" t="n"/>
      <c r="H17" s="64" t="n"/>
      <c r="I17" s="33" t="n"/>
      <c r="J17" s="33" t="n"/>
      <c r="K17" s="33" t="n"/>
      <c r="L17" s="33" t="n"/>
    </row>
    <row r="18" ht="27.75" customHeight="1" s="82">
      <c r="A18" s="43" t="n"/>
      <c r="B18" s="90">
        <f>'Ordre de passage'!F4</f>
        <v/>
      </c>
      <c r="D18" s="90">
        <f>'Ordre de passage'!G4</f>
        <v/>
      </c>
      <c r="E18" s="90" t="n"/>
      <c r="F18" s="109" t="n"/>
      <c r="I18" s="33" t="n"/>
      <c r="J18" s="33" t="n"/>
      <c r="K18" s="33" t="n"/>
      <c r="L18" s="33" t="n"/>
    </row>
    <row r="19" ht="8.25" customHeight="1" s="82">
      <c r="A19" s="43" t="n"/>
      <c r="E19" s="65" t="n"/>
      <c r="F19" s="65" t="n"/>
      <c r="G19" s="65" t="n"/>
      <c r="H19" s="65" t="n"/>
      <c r="I19" s="33" t="n"/>
      <c r="J19" s="33" t="n"/>
      <c r="K19" s="33" t="n"/>
      <c r="L19" s="33" t="n"/>
    </row>
    <row r="20" ht="25.5" customHeight="1" s="82">
      <c r="A20" s="43" t="n"/>
      <c r="B20" s="84" t="inlineStr">
        <is>
          <t>Appréciation générale Jury 1</t>
        </is>
      </c>
      <c r="C20" s="67" t="n"/>
      <c r="D20" s="84" t="inlineStr">
        <is>
          <t>Appréciation générale Jury 2</t>
        </is>
      </c>
      <c r="E20" s="84" t="n"/>
      <c r="F20" s="111" t="n"/>
      <c r="I20" s="33" t="n"/>
      <c r="J20" s="84" t="n"/>
      <c r="K20" s="33" t="n"/>
      <c r="L20" s="33" t="n"/>
    </row>
    <row r="21" ht="14.4" customHeight="1" s="82">
      <c r="A21" s="43" t="n"/>
      <c r="B21" s="120" t="n"/>
      <c r="C21" s="43" t="n"/>
      <c r="D21" s="120" t="n"/>
      <c r="E21" s="43" t="n"/>
      <c r="F21" s="85" t="n"/>
      <c r="G21" s="115" t="n"/>
      <c r="I21" s="33" t="n"/>
      <c r="J21" s="121" t="inlineStr">
        <is>
          <t xml:space="preserve">Signature de l'organisme </t>
        </is>
      </c>
      <c r="K21" s="33" t="n"/>
      <c r="L21" s="33" t="n"/>
    </row>
    <row r="22" ht="14.25" customHeight="1" s="82">
      <c r="A22" s="43" t="n"/>
      <c r="C22" s="67" t="n"/>
      <c r="E22" s="65" t="n"/>
      <c r="I22" s="33" t="n"/>
      <c r="K22" s="33" t="n"/>
      <c r="L22" s="33" t="n"/>
    </row>
    <row r="23"/>
    <row r="24"/>
    <row r="25"/>
    <row r="26"/>
    <row r="27"/>
  </sheetData>
  <mergeCells count="14">
    <mergeCell ref="F20:H20"/>
    <mergeCell ref="F4:G4"/>
    <mergeCell ref="G21:H21"/>
    <mergeCell ref="K2:T2"/>
    <mergeCell ref="I4:J4"/>
    <mergeCell ref="J21:J23"/>
    <mergeCell ref="F16:G16"/>
    <mergeCell ref="F18:H18"/>
    <mergeCell ref="A1:B1"/>
    <mergeCell ref="A2:J2"/>
    <mergeCell ref="B15:D15"/>
    <mergeCell ref="B21:B27"/>
    <mergeCell ref="D21:D27"/>
    <mergeCell ref="A14:D14"/>
  </mergeCells>
  <conditionalFormatting sqref="B18 D18">
    <cfRule type="containsBlanks" priority="7" dxfId="0">
      <formula>LEN(TRIM(B18))=0</formula>
    </cfRule>
  </conditionalFormatting>
  <conditionalFormatting sqref="B21:B27 D21:D27">
    <cfRule type="containsBlanks" priority="1" dxfId="0">
      <formula>LEN(TRIM(B21))=0</formula>
    </cfRule>
  </conditionalFormatting>
  <conditionalFormatting sqref="D4:D6">
    <cfRule type="containsBlanks" priority="5" dxfId="0">
      <formula>LEN(TRIM(D4))=0</formula>
    </cfRule>
  </conditionalFormatting>
  <conditionalFormatting sqref="F15">
    <cfRule type="cellIs" priority="2" operator="lessThan" dxfId="3">
      <formula>10</formula>
    </cfRule>
    <cfRule type="cellIs" priority="3" operator="greaterThanOrEqual" dxfId="2">
      <formula>10</formula>
    </cfRule>
  </conditionalFormatting>
  <conditionalFormatting sqref="G8:J13">
    <cfRule type="containsBlanks" priority="4" dxfId="0">
      <formula>LEN(TRIM(G8))=0</formula>
    </cfRule>
  </conditionalFormatting>
  <conditionalFormatting sqref="H4">
    <cfRule type="containsBlanks" priority="6" dxfId="0">
      <formula>LEN(TRIM(H4))=0</formula>
    </cfRule>
  </conditionalFormatting>
  <pageMargins left="0.75" right="0.75" top="1.131048387096774" bottom="2.816532258064516" header="0" footer="0"/>
  <pageSetup orientation="portrait" paperSize="3" scale="5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T28"/>
  <sheetViews>
    <sheetView showGridLines="0" workbookViewId="0">
      <selection activeCell="A3" sqref="A3"/>
    </sheetView>
  </sheetViews>
  <sheetFormatPr baseColWidth="10" defaultColWidth="12.59765625" defaultRowHeight="15" customHeight="1"/>
  <cols>
    <col width="4.69921875" customWidth="1" style="82" min="1" max="1"/>
    <col width="42.8984375" customWidth="1" style="82" min="2" max="2"/>
    <col width="1.19921875" customWidth="1" style="82" min="3" max="3"/>
    <col width="43.19921875" customWidth="1" style="82" min="4" max="4"/>
    <col width="1.19921875" customWidth="1" style="82" min="5" max="5"/>
    <col width="9.09765625" customWidth="1" style="82" min="6" max="7"/>
    <col width="32" customWidth="1" style="82" min="8" max="8"/>
    <col width="9.09765625" customWidth="1" style="82" min="9" max="9"/>
    <col width="39" customWidth="1" style="82" min="10" max="10"/>
  </cols>
  <sheetData>
    <row r="1" ht="39" customHeight="1" s="82">
      <c r="A1" s="118" t="n"/>
      <c r="C1" s="99" t="n"/>
      <c r="D1" s="99" t="n"/>
      <c r="E1" s="99" t="n"/>
      <c r="F1" s="99" t="n"/>
      <c r="G1" s="99" t="n"/>
      <c r="H1" s="99" t="n"/>
      <c r="I1" s="99" t="n"/>
      <c r="J1" s="99" t="n"/>
      <c r="K1" s="33" t="n"/>
      <c r="L1" s="33" t="n"/>
    </row>
    <row r="2" ht="39.75" customHeight="1" s="82">
      <c r="A2" s="105" t="inlineStr">
        <is>
          <t>Grille d'évaluation : "Communiquer sur les réseaux sociaux pour promouvoir sa TPE" - RS7200</t>
        </is>
      </c>
      <c r="K2" s="122" t="n"/>
    </row>
    <row r="3" ht="14.25" customHeight="1" s="82">
      <c r="A3" s="35" t="n"/>
      <c r="B3" s="87" t="n"/>
      <c r="C3" s="37" t="n"/>
      <c r="D3" s="87" t="n"/>
      <c r="E3" s="87" t="n"/>
      <c r="F3" s="87" t="n"/>
      <c r="G3" s="87" t="n"/>
      <c r="H3" s="75" t="n"/>
      <c r="I3" s="1" t="n"/>
      <c r="J3" s="88" t="n"/>
      <c r="K3" s="33" t="n"/>
      <c r="L3" s="33" t="n"/>
    </row>
    <row r="4" ht="14.25" customHeight="1" s="82">
      <c r="A4" s="35" t="n"/>
      <c r="B4" s="87" t="inlineStr">
        <is>
          <t>Nom du candidat :</t>
        </is>
      </c>
      <c r="C4" s="37" t="n"/>
      <c r="D4" s="87">
        <f>IF('Ordre de passage'!C16="","",'Ordre de passage'!C16)</f>
        <v/>
      </c>
      <c r="E4" s="87" t="n"/>
      <c r="F4" s="106" t="inlineStr">
        <is>
          <t>Date :</t>
        </is>
      </c>
      <c r="H4" s="38">
        <f>IF('Ordre de passage'!D5="","",'Ordre de passage'!D5)</f>
        <v/>
      </c>
      <c r="I4" s="107" t="inlineStr">
        <is>
          <t>Important : renseigner les cellules de couleurs grises</t>
        </is>
      </c>
      <c r="K4" s="33" t="n"/>
      <c r="L4" s="33" t="n"/>
    </row>
    <row r="5" ht="14.25" customHeight="1" s="82">
      <c r="A5" s="35" t="n"/>
      <c r="B5" s="87" t="inlineStr">
        <is>
          <t>Prénom du candidat :</t>
        </is>
      </c>
      <c r="C5" s="97" t="n"/>
      <c r="D5" s="87">
        <f>IF('Ordre de passage'!D16="","",'Ordre de passage'!D16)</f>
        <v/>
      </c>
      <c r="E5" s="35" t="n"/>
      <c r="F5" s="35" t="n"/>
      <c r="H5" s="41" t="n"/>
      <c r="I5" s="41" t="n"/>
      <c r="J5" s="42" t="inlineStr">
        <is>
          <t>Commentaire obligatoire pour les critères que le candidat ne valide pas</t>
        </is>
      </c>
      <c r="K5" s="33" t="n"/>
      <c r="L5" s="33" t="n"/>
    </row>
    <row r="6" ht="14.25" customHeight="1" s="82">
      <c r="A6" s="43" t="n"/>
      <c r="B6" s="87" t="inlineStr">
        <is>
          <t>Heure de passage :</t>
        </is>
      </c>
      <c r="C6" s="37" t="n"/>
      <c r="D6" s="87">
        <f>IF('Ordre de passage'!B16="","",'Ordre de passage'!B16)</f>
        <v/>
      </c>
      <c r="E6" s="44" t="n"/>
      <c r="F6" s="44" t="n"/>
      <c r="G6" s="44" t="n"/>
      <c r="H6" s="44" t="n"/>
      <c r="I6" s="1" t="n"/>
      <c r="J6" s="33" t="n"/>
      <c r="K6" s="33" t="n"/>
      <c r="L6" s="33" t="n"/>
    </row>
    <row r="7" ht="39.75" customHeight="1" s="82">
      <c r="A7" s="45" t="n"/>
      <c r="B7" s="46" t="inlineStr">
        <is>
          <t>Compétences</t>
        </is>
      </c>
      <c r="C7" s="46" t="n"/>
      <c r="D7" s="46" t="inlineStr">
        <is>
          <t>Critères</t>
        </is>
      </c>
      <c r="E7" s="46" t="n"/>
      <c r="F7" s="47" t="inlineStr">
        <is>
          <t>Pts Max.</t>
        </is>
      </c>
      <c r="G7" s="48" t="inlineStr">
        <is>
          <t>Note Jury 1</t>
        </is>
      </c>
      <c r="H7" s="48" t="inlineStr">
        <is>
          <t>Commentaires Jury 1</t>
        </is>
      </c>
      <c r="I7" s="48" t="inlineStr">
        <is>
          <t>Note Jury 2</t>
        </is>
      </c>
      <c r="J7" s="48" t="inlineStr">
        <is>
          <t>Commentaires Jury 2</t>
        </is>
      </c>
      <c r="K7" s="33" t="n"/>
      <c r="L7" s="33" t="n"/>
    </row>
    <row r="8" ht="89.25" customHeight="1" s="82">
      <c r="A8" s="49" t="inlineStr">
        <is>
          <t>C1</t>
        </is>
      </c>
      <c r="B8" s="50" t="inlineStr">
        <is>
          <t>Définir une stratégie sur les réseaux sociaux, adaptée aux ressources mobilisables par la TPE et en lien avec son activité, son public cible et ses objectifs commerciaux, afin d’élaborer un plan d’action pertinent à la mesure des capacités financières et temporelles données au projet.</t>
        </is>
      </c>
      <c r="C8" s="51" t="n"/>
      <c r="D8" s="50" t="inlineStr">
        <is>
          <t>Cr1. Le plan d’action proposé par le candidat est en cohérence avec : 
- L’objectif visé
- La ou les cible(s) visée (es)
- La ou les période(s) de communication à exploiter
- Le budget alloué</t>
        </is>
      </c>
      <c r="E8" s="51" t="n"/>
      <c r="F8" s="52" t="n">
        <v>4</v>
      </c>
      <c r="G8" s="53" t="n"/>
      <c r="H8" s="54" t="n"/>
      <c r="I8" s="53" t="n"/>
      <c r="J8" s="54" t="n"/>
      <c r="K8" s="33" t="n"/>
      <c r="L8" s="33" t="n"/>
    </row>
    <row r="9" ht="77.25" customHeight="1" s="82">
      <c r="A9" s="49" t="inlineStr">
        <is>
          <t>C2</t>
        </is>
      </c>
      <c r="B9" s="50" t="inlineStr">
        <is>
          <t>Identifier la ou les plateforme(s) de réseaux sociaux en comparant leurs positionnements sur le marché, en s’assurant de leur correspondance avec son public cible et en prenant en compte les pratiques de la concurrence afin d’identifier les bonnes communautés.</t>
        </is>
      </c>
      <c r="C9" s="51" t="n"/>
      <c r="D9" s="50" t="inlineStr">
        <is>
          <t>Cr2. L’analyse de marché primaire réalisée permet de vérifier que le public visé correspond à la cible du produit / ou services et permet d’identifier le bon positionnement par rapport à la concurrence donnant l’avantage concurrentiel.</t>
        </is>
      </c>
      <c r="E9" s="51" t="n"/>
      <c r="F9" s="52" t="n">
        <v>3</v>
      </c>
      <c r="G9" s="53" t="n"/>
      <c r="H9" s="54" t="n"/>
      <c r="I9" s="53" t="n"/>
      <c r="J9" s="54" t="n"/>
      <c r="K9" s="33" t="n"/>
      <c r="L9" s="33" t="n"/>
    </row>
    <row r="10" ht="159.75" customHeight="1" s="82">
      <c r="A10" s="49" t="inlineStr">
        <is>
          <t>C3</t>
        </is>
      </c>
      <c r="B10" s="50" t="inlineStr">
        <is>
          <t>Créer et concevoir une page de présentation de son entreprise TPE sur les réseaux sociaux choisis, en intégrant les éléments de nom et d’identité visuelle pour l’ancrer dans le réseau social.</t>
        </is>
      </c>
      <c r="C10" s="51" t="n"/>
      <c r="D10" s="50" t="inlineStr">
        <is>
          <t>Cr3.1. Le modèle du profil dirigeant conçu par le candidat respecte le nom et l’identité visuelle du projet d’entreprise et est adapté dans son format aux normes et usages du réseau social.
Cr3.2. La page professionnelle du candidat :
- Est complétée et paramétrée sur le réseau social choisi
- Présente des contenus multimédias de qualité et harmonieux
- Prend en compte les situations de handicap (plan d’accès, mode de contact)</t>
        </is>
      </c>
      <c r="E10" s="51" t="n"/>
      <c r="F10" s="52" t="n">
        <v>3</v>
      </c>
      <c r="G10" s="53" t="n"/>
      <c r="H10" s="54" t="n"/>
      <c r="I10" s="53" t="n"/>
      <c r="J10" s="54" t="n"/>
      <c r="K10" s="33" t="n"/>
      <c r="L10" s="33" t="n"/>
    </row>
    <row r="11" ht="75.75" customHeight="1" s="82">
      <c r="A11" s="49" t="inlineStr">
        <is>
          <t>C4</t>
        </is>
      </c>
      <c r="B11" s="50" t="inlineStr">
        <is>
          <t>Elaborer une stratégie éditoriale en tenant compte des spécificités propres à la TPE (objectifs qualitatifs, quantitatifs et temporels) afin d’établir un planning d’actions et ainsi organiser une régularité dans la ligne éditoriale.</t>
        </is>
      </c>
      <c r="C11" s="51" t="n"/>
      <c r="D11" s="50" t="inlineStr">
        <is>
          <t>Cr4. Le planning est élaboré de façon à permettre une régularité et un rythme dans les objectifs de publication de promotion de l’activité produits et/ou services.</t>
        </is>
      </c>
      <c r="E11" s="51" t="n"/>
      <c r="F11" s="52" t="n">
        <v>4</v>
      </c>
      <c r="G11" s="53" t="n"/>
      <c r="H11" s="54" t="n"/>
      <c r="I11" s="53" t="n"/>
      <c r="J11" s="54" t="n"/>
      <c r="K11" s="33" t="n"/>
      <c r="L11" s="33" t="n"/>
    </row>
    <row r="12" ht="117" customHeight="1" s="82">
      <c r="A12" s="49" t="inlineStr">
        <is>
          <t>C5</t>
        </is>
      </c>
      <c r="B12" s="50" t="inlineStr">
        <is>
          <t>Animer la page de son entreprise TPE en publiant des posts (du contenu commercial, des informations sur les produits et sur l’entreprise, du contenu multimédia) en apportant des adaptations en fonction des différentes situations de handicap qui peuvent être prises en compte (sous-titrage par exemple) et en utilisant un ton en correspondance avec la communauté visée afin de générer des actions, des réactions ou des interactions du(des) public(s) visé(s).</t>
        </is>
      </c>
      <c r="C12" s="51" t="n"/>
      <c r="D12" s="50" t="inlineStr">
        <is>
          <t>Cr5. La publication est correctement rédigée : 
- Le ton employé est dans l’esprit du réseau social concerné
- La thématique choisie est en cohérence avec le projet de promotion des produits et/ou services de l’entreprise</t>
        </is>
      </c>
      <c r="E12" s="51" t="n"/>
      <c r="F12" s="52" t="n">
        <v>3</v>
      </c>
      <c r="G12" s="53" t="n"/>
      <c r="H12" s="54" t="n"/>
      <c r="I12" s="53" t="n"/>
      <c r="J12" s="54" t="n"/>
      <c r="K12" s="33" t="n"/>
      <c r="L12" s="33" t="n"/>
    </row>
    <row r="13" ht="185.25" customHeight="1" s="82">
      <c r="A13" s="49" t="inlineStr">
        <is>
          <t>C6</t>
        </is>
      </c>
      <c r="B13" s="50" t="inlineStr">
        <is>
          <t>Cultiver la e-réputation de son entreprise TPE en mettant en place des actions publicitaires sur le réseau social concerné, en répondant aux avis, commentaires et critiques publiés par la communauté dans la page de l’entreprise, en sélectionnant des e-influenceurs et en suivant les données transmises par le réseau social concerné afin d’attirer davantage de public(s) visé(s) et d’optimiser la performance de ses publications</t>
        </is>
      </c>
      <c r="C13" s="51" t="n"/>
      <c r="D13" s="50" t="inlineStr">
        <is>
          <t>Cr6.1. Le candidat réalise correctement la campagne publicitaire sur l’outil de création de campagne du réseau social. Le candidat remplit les champs nécessaires en restant aligné avec : 
- La cible prédéfinie
- Les informations relatives à l’entreprise
- Le budget
- La date de lancement de la campagne
- Le contenu de la publication 
Cr6.2. Le candidat tient compte des potentielles situations de handicap des membres de sa communauté dans ses réponses.</t>
        </is>
      </c>
      <c r="E13" s="51" t="n"/>
      <c r="F13" s="52" t="n">
        <v>3</v>
      </c>
      <c r="G13" s="53" t="n"/>
      <c r="H13" s="54" t="n"/>
      <c r="I13" s="53" t="n"/>
      <c r="J13" s="54" t="n"/>
      <c r="K13" s="33" t="n"/>
      <c r="L13" s="33" t="n"/>
    </row>
    <row r="14" ht="27.75" customHeight="1" s="82">
      <c r="A14" s="108" t="inlineStr">
        <is>
          <t>TOTAL  (note sur 60)</t>
        </is>
      </c>
      <c r="E14" s="89" t="n"/>
      <c r="F14" s="56">
        <f>SUM(F8:F13)</f>
        <v/>
      </c>
      <c r="G14" s="57">
        <f>SUM(G8:G13)</f>
        <v/>
      </c>
      <c r="H14" s="33" t="n"/>
      <c r="I14" s="57">
        <f>SUM(I8:I13)</f>
        <v/>
      </c>
      <c r="J14" s="33" t="n"/>
      <c r="K14" s="33" t="n"/>
      <c r="L14" s="33" t="n"/>
    </row>
    <row r="15" ht="34.5" customHeight="1" s="82">
      <c r="A15" s="43" t="n"/>
      <c r="B15" s="109" t="inlineStr">
        <is>
          <t>L’obtention d’une note minimale de 10/20 permet la validation du parcours
(attention, la moyenne est calculée pour 3 jurés, à changer si uniquement 2 membres)</t>
        </is>
      </c>
      <c r="E15" s="59" t="n"/>
      <c r="F15" s="60">
        <f>(G14+I14)/2</f>
        <v/>
      </c>
      <c r="G15" s="61" t="n"/>
      <c r="H15" s="61" t="n"/>
      <c r="I15" s="33" t="n"/>
      <c r="J15" s="33" t="n"/>
      <c r="K15" s="33" t="n"/>
      <c r="L15" s="33" t="n"/>
    </row>
    <row r="16" ht="24.75" customHeight="1" s="82">
      <c r="A16" s="43" t="n"/>
      <c r="C16" s="62" t="n"/>
      <c r="D16" s="62" t="n"/>
      <c r="E16" s="91" t="n"/>
      <c r="F16" s="110" t="inlineStr">
        <is>
          <t>Note finale</t>
        </is>
      </c>
      <c r="H16" s="61" t="n"/>
      <c r="I16" s="33" t="n"/>
      <c r="J16" s="33" t="n"/>
      <c r="K16" s="33" t="n"/>
      <c r="L16" s="33" t="n"/>
    </row>
    <row r="17" ht="27.75" customHeight="1" s="82">
      <c r="A17" s="43" t="n"/>
      <c r="B17" s="62" t="inlineStr">
        <is>
          <t>Nom et prénom des évaluateurs</t>
        </is>
      </c>
      <c r="C17" s="62" t="n"/>
      <c r="G17" s="64" t="n"/>
      <c r="H17" s="64" t="n"/>
      <c r="I17" s="33" t="n"/>
      <c r="J17" s="33" t="n"/>
      <c r="K17" s="33" t="n"/>
      <c r="L17" s="33" t="n"/>
    </row>
    <row r="18" ht="27.75" customHeight="1" s="82">
      <c r="A18" s="43" t="n"/>
      <c r="B18" s="90">
        <f>'Ordre de passage'!F4</f>
        <v/>
      </c>
      <c r="D18" s="90">
        <f>'Ordre de passage'!G4</f>
        <v/>
      </c>
      <c r="E18" s="90" t="n"/>
      <c r="F18" s="109" t="n"/>
      <c r="I18" s="33" t="n"/>
      <c r="J18" s="33" t="n"/>
      <c r="K18" s="33" t="n"/>
      <c r="L18" s="33" t="n"/>
    </row>
    <row r="19" ht="8.25" customHeight="1" s="82">
      <c r="A19" s="43" t="n"/>
      <c r="E19" s="65" t="n"/>
      <c r="F19" s="65" t="n"/>
      <c r="G19" s="65" t="n"/>
      <c r="H19" s="65" t="n"/>
      <c r="I19" s="33" t="n"/>
      <c r="J19" s="33" t="n"/>
      <c r="K19" s="33" t="n"/>
      <c r="L19" s="33" t="n"/>
    </row>
    <row r="20" ht="25.5" customHeight="1" s="82">
      <c r="A20" s="43" t="n"/>
      <c r="B20" s="84" t="inlineStr">
        <is>
          <t>Appréciation générale Jury 1</t>
        </is>
      </c>
      <c r="C20" s="67" t="n"/>
      <c r="D20" s="84" t="inlineStr">
        <is>
          <t>Appréciation générale Jury 2</t>
        </is>
      </c>
      <c r="E20" s="84" t="n"/>
      <c r="F20" s="111" t="n"/>
      <c r="I20" s="33" t="n"/>
      <c r="J20" s="84" t="n"/>
      <c r="K20" s="33" t="n"/>
      <c r="L20" s="33" t="n"/>
    </row>
    <row r="21" ht="14.4" customHeight="1" s="82">
      <c r="A21" s="43" t="n"/>
      <c r="B21" s="120" t="n"/>
      <c r="C21" s="43" t="n"/>
      <c r="D21" s="120" t="n"/>
      <c r="E21" s="43" t="n"/>
      <c r="F21" s="85" t="n"/>
      <c r="G21" s="115" t="n"/>
      <c r="I21" s="33" t="n"/>
      <c r="J21" s="121" t="inlineStr">
        <is>
          <t xml:space="preserve">Signature de l'organisme </t>
        </is>
      </c>
      <c r="K21" s="33" t="n"/>
      <c r="L21" s="33" t="n"/>
    </row>
    <row r="22" ht="14.25" customHeight="1" s="82">
      <c r="A22" s="43" t="n"/>
      <c r="C22" s="67" t="n"/>
      <c r="E22" s="65" t="n"/>
      <c r="I22" s="33" t="n"/>
      <c r="K22" s="33" t="n"/>
      <c r="L22" s="33" t="n"/>
    </row>
    <row r="23"/>
    <row r="24"/>
    <row r="25"/>
    <row r="26"/>
    <row r="27"/>
    <row r="28"/>
  </sheetData>
  <mergeCells count="14">
    <mergeCell ref="F20:H20"/>
    <mergeCell ref="F4:G4"/>
    <mergeCell ref="G21:H21"/>
    <mergeCell ref="K2:T2"/>
    <mergeCell ref="I4:J4"/>
    <mergeCell ref="F18:H18"/>
    <mergeCell ref="F16:G16"/>
    <mergeCell ref="B21:B28"/>
    <mergeCell ref="D21:D28"/>
    <mergeCell ref="A1:B1"/>
    <mergeCell ref="A2:J2"/>
    <mergeCell ref="B15:D15"/>
    <mergeCell ref="J21:J24"/>
    <mergeCell ref="A14:D14"/>
  </mergeCells>
  <conditionalFormatting sqref="B18 D18">
    <cfRule type="containsBlanks" priority="7" dxfId="0">
      <formula>LEN(TRIM(B18))=0</formula>
    </cfRule>
  </conditionalFormatting>
  <conditionalFormatting sqref="B21:B28 D21:D28">
    <cfRule type="containsBlanks" priority="1" dxfId="0">
      <formula>LEN(TRIM(B21))=0</formula>
    </cfRule>
  </conditionalFormatting>
  <conditionalFormatting sqref="D4:D6">
    <cfRule type="containsBlanks" priority="5" dxfId="0">
      <formula>LEN(TRIM(D4))=0</formula>
    </cfRule>
  </conditionalFormatting>
  <conditionalFormatting sqref="F15">
    <cfRule type="cellIs" priority="2" operator="lessThan" dxfId="3">
      <formula>10</formula>
    </cfRule>
    <cfRule type="cellIs" priority="3" operator="greaterThanOrEqual" dxfId="2">
      <formula>10</formula>
    </cfRule>
  </conditionalFormatting>
  <conditionalFormatting sqref="G8:J13">
    <cfRule type="containsBlanks" priority="4" dxfId="0">
      <formula>LEN(TRIM(G8))=0</formula>
    </cfRule>
  </conditionalFormatting>
  <conditionalFormatting sqref="H4">
    <cfRule type="containsBlanks" priority="6" dxfId="0">
      <formula>LEN(TRIM(H4))=0</formula>
    </cfRule>
  </conditionalFormatting>
  <pageMargins left="0.7" right="0.7" top="0.75" bottom="0.75" header="0" footer="0"/>
  <pageSetup orientation="portrait" paperSize="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YVES</dc:creator>
  <dcterms:created xmlns:dcterms="http://purl.org/dc/terms/" xmlns:xsi="http://www.w3.org/2001/XMLSchema-instance" xsi:type="dcterms:W3CDTF">2020-03-31T15:21:21Z</dcterms:created>
  <dcterms:modified xmlns:dcterms="http://purl.org/dc/terms/" xmlns:xsi="http://www.w3.org/2001/XMLSchema-instance" xsi:type="dcterms:W3CDTF">2026-07-11T22:55:20Z</dcterms:modified>
  <cp:lastModifiedBy>Paul Hantraye</cp:lastModifiedBy>
</cp:coreProperties>
</file>