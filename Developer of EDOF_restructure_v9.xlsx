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BORD" sheetId="1" r:id="rId4"/>
    <sheet state="visible" name="APPRENANTS" sheetId="2" r:id="rId5"/>
    <sheet state="visible" name="WEDOF - EXAMEN FINAL" sheetId="3" r:id="rId6"/>
    <sheet state="visible" name="PAIEMENTS &amp; COMMISSIONS" sheetId="4" r:id="rId7"/>
    <sheet state="visible" name="AUTOMATISATION" sheetId="5" r:id="rId8"/>
    <sheet state="visible" name="LIENS INSCRIPTION" sheetId="6" r:id="rId9"/>
    <sheet state="visible" name="SYNTHESE PAIEMENTS" sheetId="7" r:id="rId10"/>
  </sheets>
  <definedNames>
    <definedName hidden="1" localSheetId="0" name="_xlnm._FilterDatabase">'TABLEAU DE BORD'!$B$20:$K$172</definedName>
    <definedName hidden="1" localSheetId="1" name="_xlnm._FilterDatabase">APPRENANTS!$A$1:$Y$153</definedName>
    <definedName hidden="1" localSheetId="2" name="_xlnm._FilterDatabase">'WEDOF - EXAMEN FINAL'!$A$1:$M$153</definedName>
    <definedName hidden="1" localSheetId="3" name="_xlnm._FilterDatabase">'PAIEMENTS &amp; COMMISSIONS'!$A$1:$P$153</definedName>
    <definedName hidden="1" localSheetId="4" name="_xlnm._FilterDatabase">AUTOMATISATION!$A$12:$X$164</definedName>
    <definedName hidden="1" localSheetId="5" name="_xlnm._FilterDatabase">'LIENS INSCRIPTION'!$A$1:$C$19</definedName>
  </definedNames>
  <calcPr/>
  <extLst>
    <ext uri="GoogleSheetsCustomDataVersion2">
      <go:sheetsCustomData xmlns:go="http://customooxmlschemas.google.com/" r:id="rId11" roundtripDataChecksum="aIpFdoBf+MX4oeGjFnutbh3ViveW6YXbS/Um+F4a31w="/>
    </ext>
  </extLst>
</workbook>
</file>

<file path=xl/sharedStrings.xml><?xml version="1.0" encoding="utf-8"?>
<sst xmlns="http://schemas.openxmlformats.org/spreadsheetml/2006/main" count="3689" uniqueCount="534">
  <si>
    <t>Organisme</t>
  </si>
  <si>
    <t>TABLEAU DE BORD - SUIVI DES APPRENANTS</t>
  </si>
  <si>
    <t>APPRENANTS est la table maitre : WEDOF - EXAMEN FINAL, PAIEMENTS &amp; COMMISSIONS et AUTOMATISATION se remplissent automatiquement a partir d'elle (meme ordre de lignes).</t>
  </si>
  <si>
    <t>Nom</t>
  </si>
  <si>
    <t>INDICATEURS CLES</t>
  </si>
  <si>
    <t>Apporteur</t>
  </si>
  <si>
    <t>CV</t>
  </si>
  <si>
    <t>Total apprenants suivis</t>
  </si>
  <si>
    <t>Formation</t>
  </si>
  <si>
    <t>CIN</t>
  </si>
  <si>
    <t>6 dossiers admin</t>
  </si>
  <si>
    <t>Convocation examen</t>
  </si>
  <si>
    <t>Date fin formation</t>
  </si>
  <si>
    <t>Experience</t>
  </si>
  <si>
    <t>Date paiement apporteur (J+35)</t>
  </si>
  <si>
    <t>Date debut session</t>
  </si>
  <si>
    <t>Adresse</t>
  </si>
  <si>
    <t>Date fin session</t>
  </si>
  <si>
    <t>Statut EDOF</t>
  </si>
  <si>
    <t>Email</t>
  </si>
  <si>
    <t>Reste a charge (E)</t>
  </si>
  <si>
    <t>Mobile</t>
  </si>
  <si>
    <t>Budget dossier (E)</t>
  </si>
  <si>
    <t>Date de naissance</t>
  </si>
  <si>
    <t>Montant commission</t>
  </si>
  <si>
    <t>Telephone</t>
  </si>
  <si>
    <t>Missions a faire</t>
  </si>
  <si>
    <t>Commission versee ?</t>
  </si>
  <si>
    <t>Statut commission</t>
  </si>
  <si>
    <t>Analyse du besoin</t>
  </si>
  <si>
    <t>Dossiers avec documents en attente</t>
  </si>
  <si>
    <t>Questionnaire/Test</t>
  </si>
  <si>
    <t>Mois paiement</t>
  </si>
  <si>
    <t>Contrat</t>
  </si>
  <si>
    <t>Inscription confirmee</t>
  </si>
  <si>
    <t>Convocation</t>
  </si>
  <si>
    <t>CA confirme (E)</t>
  </si>
  <si>
    <t>Eval intermediaire</t>
  </si>
  <si>
    <t>Dossiers a relancer (J+1 fin formation)</t>
  </si>
  <si>
    <t>Eval finale</t>
  </si>
  <si>
    <t>Commission confirmee</t>
  </si>
  <si>
    <t>Questionnaire satisfaction</t>
  </si>
  <si>
    <t>Document de fin</t>
  </si>
  <si>
    <t>Doublons Organisme a verifier</t>
  </si>
  <si>
    <t>A faire</t>
  </si>
  <si>
    <t>% Avancement</t>
  </si>
  <si>
    <t>Alerte relance</t>
  </si>
  <si>
    <t>Fait</t>
  </si>
  <si>
    <t>Alerte doublon</t>
  </si>
  <si>
    <t>Dossiers examen Wedof en attente</t>
  </si>
  <si>
    <t>Inscription confirmee/payee (E)</t>
  </si>
  <si>
    <t>Proforma Institut</t>
  </si>
  <si>
    <t>Commissions en retard de versement</t>
  </si>
  <si>
    <t>Mohamed Ait Baha</t>
  </si>
  <si>
    <t>CA total previsionnel (dossiers confirmes uniquement)</t>
  </si>
  <si>
    <t>Djody</t>
  </si>
  <si>
    <t>Réaliser les opérations comptables courantes d'une TPE</t>
  </si>
  <si>
    <t>2026-02-18</t>
  </si>
  <si>
    <t>2026-03-06</t>
  </si>
  <si>
    <t>Payé</t>
  </si>
  <si>
    <t>141 BD Maréchal Juin, 62110 HENIN BEAUMONT</t>
  </si>
  <si>
    <t>mohamed.aitbaha@hotmail.fr</t>
  </si>
  <si>
    <t>Commission totale due aux apporteurs (dossiers confirmes uniquement)</t>
  </si>
  <si>
    <t>782270615</t>
  </si>
  <si>
    <t>1982-09-04</t>
  </si>
  <si>
    <t>Dossiers prets pour generation (classique)</t>
  </si>
  <si>
    <t>Dossiers prets pour generation (wedof)</t>
  </si>
  <si>
    <t>depuis 2004 effage construction ( 7 rue du devoir effage construction sud est  ) manoeuvre, 3 AN 2008 AIDE COFFREUR 210 ET DEPUII 2015 230</t>
  </si>
  <si>
    <t>Non</t>
  </si>
  <si>
    <t>Dossiers avec inscription NON confirmee/payee</t>
  </si>
  <si>
    <t>SUIVI COMPLET PAR APPRENANT</t>
  </si>
  <si>
    <t>Missions documents a faire</t>
  </si>
  <si>
    <t>Missions examen Wedof a faire</t>
  </si>
  <si>
    <t>10 ans eiffage coffreur depuis 3ans chef d equipe 10 ans eiffage coffreur depuis 3ans chef d equipe</t>
  </si>
  <si>
    <t>Oui</t>
  </si>
  <si>
    <t>Frederic Roche</t>
  </si>
  <si>
    <t>Nedjma</t>
  </si>
  <si>
    <t>10 AV Des mimosas, 13015 MARSEILLE</t>
  </si>
  <si>
    <t>fred_mars13@hotmail.fr</t>
  </si>
  <si>
    <t>613637315</t>
  </si>
  <si>
    <t>18/02/1981</t>
  </si>
  <si>
    <t>20 ans effage manoeuvre PUIS aide coffreur qualif 210</t>
  </si>
  <si>
    <t>16 ans effage grutier qualif 270 CHEF D EQUPE  ( voir parcours )</t>
  </si>
  <si>
    <t>SIAF Kamla</t>
  </si>
  <si>
    <t>2026-03-09</t>
  </si>
  <si>
    <t>8 ANS EIFFAGE GRUTIER AVANT COFFREUR TRAVEAUX DU MIDI</t>
  </si>
  <si>
    <t>2026-03-27</t>
  </si>
  <si>
    <t>171 AV du Merlan, 13014 MARSEILLE</t>
  </si>
  <si>
    <t>mimisiaf@gmail.com</t>
  </si>
  <si>
    <t>629924780</t>
  </si>
  <si>
    <t>13/08/1965</t>
  </si>
  <si>
    <t>RTM AIX ET RTM MARSEILLE</t>
  </si>
  <si>
    <t>HAFIDHOU Mansouri</t>
  </si>
  <si>
    <t>178 AV Des chutes lavie, 13013 MARSEILLE</t>
  </si>
  <si>
    <t>mansourihafidou@gmail.com</t>
  </si>
  <si>
    <t>763179407</t>
  </si>
  <si>
    <t>1990-07-05</t>
  </si>
  <si>
    <t>Renault 3 ans , estecienne à son compte et après estecienne à Humbo st vic</t>
  </si>
  <si>
    <t>DELGADO DA CRUZ Francisco</t>
  </si>
  <si>
    <t>11 ans alyzia</t>
  </si>
  <si>
    <t>29 PTR Sainte victoire, 13006 MARSEILLE</t>
  </si>
  <si>
    <t>chicodelgado72@gmail.com</t>
  </si>
  <si>
    <t>783823367</t>
  </si>
  <si>
    <t>1972-11-07</t>
  </si>
  <si>
    <t>Chômage et avant chez pas je demande si tu ve</t>
  </si>
  <si>
    <t>DOUMENC Christophe</t>
  </si>
  <si>
    <t>16 RUE Nicolas copernic, 13013 MARSEILLE</t>
  </si>
  <si>
    <t>christophedoumenc13@gmail.com</t>
  </si>
  <si>
    <t>681540974</t>
  </si>
  <si>
    <t>30/12/1972</t>
  </si>
  <si>
    <t>20 ans carrefour à Aix et 1 ans alyzia</t>
  </si>
  <si>
    <t>5 ans daher 5 ans Airbus</t>
  </si>
  <si>
    <t>AHAMADA BOURHANE Soilihi</t>
  </si>
  <si>
    <t>2026-03-30</t>
  </si>
  <si>
    <t>2026-04-17</t>
  </si>
  <si>
    <t>FACTURE</t>
  </si>
  <si>
    <t>257 AV Saint antoine, 13015 MARSEILLE</t>
  </si>
  <si>
    <t>ahamada.s@live.fr</t>
  </si>
  <si>
    <t>652632912</t>
  </si>
  <si>
    <t>22/06/1991</t>
  </si>
  <si>
    <t>10 ans alyzia</t>
  </si>
  <si>
    <t>5 ans Renault 3 ans crédit mutuel</t>
  </si>
  <si>
    <t>BENGUEDIH Kader</t>
  </si>
  <si>
    <t>5 ans crédit mutuel</t>
  </si>
  <si>
    <t>130 CHE Château gombert, 13013 MARSEILLE</t>
  </si>
  <si>
    <t>Benguedihk@yahoo.fr</t>
  </si>
  <si>
    <t>617440902</t>
  </si>
  <si>
    <t>19/08/1987</t>
  </si>
  <si>
    <t>5 ans alyzia 2 ans avia  2 ans jetex</t>
  </si>
  <si>
    <t>Julie Scotto D Aniello</t>
  </si>
  <si>
    <t>Sabri</t>
  </si>
  <si>
    <t>2026-03-04</t>
  </si>
  <si>
    <t>23 BD Boulevard Georges Clemenceau, 13700 MARIGNANE</t>
  </si>
  <si>
    <t>13julie@free.fr</t>
  </si>
  <si>
    <t>643092268</t>
  </si>
  <si>
    <t>1994-05-09</t>
  </si>
  <si>
    <t>9 ans alyzia</t>
  </si>
  <si>
    <t>Malik Benameur</t>
  </si>
  <si>
    <t>2026-02-20</t>
  </si>
  <si>
    <t>2026-03-11</t>
  </si>
  <si>
    <t>12 RUE Pour la paix, 13120 GARDANNE</t>
  </si>
  <si>
    <t>Malik13950@gmail.com</t>
  </si>
  <si>
    <t>608544404</t>
  </si>
  <si>
    <t>24/06/1994</t>
  </si>
  <si>
    <t>LEROY Aurelie</t>
  </si>
  <si>
    <t>335 CHE Chemin des romarins, 13820 ENSUES LA REDONNE</t>
  </si>
  <si>
    <t>aurelie542@hotmail.fr</t>
  </si>
  <si>
    <t>631344712</t>
  </si>
  <si>
    <t>1986-04-07</t>
  </si>
  <si>
    <t>SANIGOU Livan</t>
  </si>
  <si>
    <t>1 IMP Du stade, 13080 AIX EN PROVENCE</t>
  </si>
  <si>
    <t>livansanigou@yahoo.fr</t>
  </si>
  <si>
    <t>775959572</t>
  </si>
  <si>
    <t>19/10/1983</t>
  </si>
  <si>
    <t>GUILLOT Romain</t>
  </si>
  <si>
    <t>Étudiant Roumanie dentiste intérim alyzia et la poste</t>
  </si>
  <si>
    <t>150 RUE Du groupe Manouchian, 13130 BERRE L ETANG</t>
  </si>
  <si>
    <t>romain.guillot82@gmail.com</t>
  </si>
  <si>
    <t>623318286</t>
  </si>
  <si>
    <t>30/10/1991</t>
  </si>
  <si>
    <t>Eric Poggi</t>
  </si>
  <si>
    <t>Développer son activité avec l’intelligence artificielle</t>
  </si>
  <si>
    <t>2026-03-23</t>
  </si>
  <si>
    <t>2026-04-03</t>
  </si>
  <si>
    <t>RUE Lieutenant de vaisseau Le Bris, 13127 VITROLLES</t>
  </si>
  <si>
    <t>ericpoggi13130@gmail.com</t>
  </si>
  <si>
    <t>614893272</t>
  </si>
  <si>
    <t>27/08/1979</t>
  </si>
  <si>
    <t>SCOTTO D ANIELLO Lisa</t>
  </si>
  <si>
    <t>SQ Louison bobet, 13700 MARIGNANE</t>
  </si>
  <si>
    <t>scottodaniellolisa@gmail.com</t>
  </si>
  <si>
    <t>646571045</t>
  </si>
  <si>
    <t>23/11/1996</t>
  </si>
  <si>
    <t>Alexandre Francaux</t>
  </si>
  <si>
    <t>8 RUE Du Béarn, 13180 GIGNAC LA NERTHE</t>
  </si>
  <si>
    <t>francauxa@gmail.com</t>
  </si>
  <si>
    <t>641679495</t>
  </si>
  <si>
    <t>14/03/1998</t>
  </si>
  <si>
    <t>Jauffrey Arezki</t>
  </si>
  <si>
    <t>4 RUE des caucaires, 13127 VITROLLES</t>
  </si>
  <si>
    <t>jauffrey.arezki@outlook.com</t>
  </si>
  <si>
    <t>771067108</t>
  </si>
  <si>
    <t>21/10/1997</t>
  </si>
  <si>
    <t>NIEL Lucas</t>
  </si>
  <si>
    <t>2026-04-14</t>
  </si>
  <si>
    <t>2026-04-27</t>
  </si>
  <si>
    <t>45 RUE lagremeuse, 13100 AIX EN PROVENCE</t>
  </si>
  <si>
    <t>niel.lucas@outlook.fr</t>
  </si>
  <si>
    <t>642413718</t>
  </si>
  <si>
    <t>1999-08-10</t>
  </si>
  <si>
    <t>GIACALONE Thomas</t>
  </si>
  <si>
    <t>99 RUE Vielles route de la gavottes, 13170 LES PENNES MIRABEAU</t>
  </si>
  <si>
    <t>g-no@hotmail.fr</t>
  </si>
  <si>
    <t>610724860</t>
  </si>
  <si>
    <t>24/06/1998</t>
  </si>
  <si>
    <t>Alain PEYRON-BENOIT</t>
  </si>
  <si>
    <t>Moh</t>
  </si>
  <si>
    <t>61 BD La pinède, 13400 AUBAGNE</t>
  </si>
  <si>
    <t>a.benayoun13@gmail.com</t>
  </si>
  <si>
    <t>613252707</t>
  </si>
  <si>
    <t>25/07/1963</t>
  </si>
  <si>
    <t>TROUSSELLE Thomas</t>
  </si>
  <si>
    <t>5 AV De la 1ere armée française, 13700 MARIGNANE</t>
  </si>
  <si>
    <t>Thomas.trousselle@yahoo.com</t>
  </si>
  <si>
    <t>669994981</t>
  </si>
  <si>
    <t>19/12/1997</t>
  </si>
  <si>
    <t>PREVOST Florian</t>
  </si>
  <si>
    <t>24 AV merle au ponty, 13013 MARSEILLE</t>
  </si>
  <si>
    <t>florianprevost0@gmail.com</t>
  </si>
  <si>
    <t>766054536</t>
  </si>
  <si>
    <t>1994-02-05</t>
  </si>
  <si>
    <t>DJIBILIAN Yoann</t>
  </si>
  <si>
    <t>18 PL place d'Amont, 13390 AURIOL</t>
  </si>
  <si>
    <t>yoann.djibilian@laposte.net</t>
  </si>
  <si>
    <t>645742336</t>
  </si>
  <si>
    <t>26/09/1999</t>
  </si>
  <si>
    <t>ROUAISSI Moncef</t>
  </si>
  <si>
    <t>2026-05-11</t>
  </si>
  <si>
    <t>2026-05-22</t>
  </si>
  <si>
    <t>CHE saint français, 13710 FUVEAU</t>
  </si>
  <si>
    <t>rouaissimoncef63@gmail.com</t>
  </si>
  <si>
    <t>618814668</t>
  </si>
  <si>
    <t>1963-04-10</t>
  </si>
  <si>
    <t>BOUTI Yazid</t>
  </si>
  <si>
    <t>2026-05-12</t>
  </si>
  <si>
    <t>9 BD Boulevard Victor Hugo, 13180 GIGNAC LA NERTHE</t>
  </si>
  <si>
    <t>yazidbouti48@gmail.com</t>
  </si>
  <si>
    <t>756870967</t>
  </si>
  <si>
    <t>19/02/1976</t>
  </si>
  <si>
    <t>KOUIDER Alexandre</t>
  </si>
  <si>
    <t>13 IMP De la papeterie, 13005 MARSEILLE</t>
  </si>
  <si>
    <t>alexandre.kouider.thiers@gmail.com</t>
  </si>
  <si>
    <t>772350340</t>
  </si>
  <si>
    <t>15/05/2003</t>
  </si>
  <si>
    <t>SOLAITIN Mathieu</t>
  </si>
  <si>
    <t>2026-05-18</t>
  </si>
  <si>
    <t>2026-05-29</t>
  </si>
  <si>
    <t>AV De Font Segugne, 13127 VITROLLES</t>
  </si>
  <si>
    <t>msolaitin@yahoo.com</t>
  </si>
  <si>
    <t>649754907</t>
  </si>
  <si>
    <t>20/07/1993</t>
  </si>
  <si>
    <t>Alexandre Schmerber</t>
  </si>
  <si>
    <t>24 MTE De le belle france, 13015 MARSEILLE</t>
  </si>
  <si>
    <t>alexandre.schmerber@hotmail.com</t>
  </si>
  <si>
    <t>699574950</t>
  </si>
  <si>
    <t>24/05/1993</t>
  </si>
  <si>
    <t>CHAFIL Amine</t>
  </si>
  <si>
    <t>2026-06-08</t>
  </si>
  <si>
    <t>2026-06-13</t>
  </si>
  <si>
    <t>Accepté</t>
  </si>
  <si>
    <t>23 RUE Professeur marcel Arnaud, 13013 MARSEILLE</t>
  </si>
  <si>
    <t>amine_du_13010@hotmail.fr</t>
  </si>
  <si>
    <t>624685745</t>
  </si>
  <si>
    <t>1990-11-07</t>
  </si>
  <si>
    <t>MARIOTTI Regis</t>
  </si>
  <si>
    <t>11 TRA de la dominique, 13011 MARSEILLE</t>
  </si>
  <si>
    <t>regismariotti@hotmail.fr</t>
  </si>
  <si>
    <t>612877388</t>
  </si>
  <si>
    <t>27/08/1977</t>
  </si>
  <si>
    <t>GAUTHEROT Pascal</t>
  </si>
  <si>
    <t>GRAS</t>
  </si>
  <si>
    <t>Améliorer l'efficacité de sa TPE à l'aide de l'IA</t>
  </si>
  <si>
    <t>2026-06-15</t>
  </si>
  <si>
    <t>2026-06-20</t>
  </si>
  <si>
    <t>192 CHE du tour de l'étang, 13800 ISTRES</t>
  </si>
  <si>
    <t>pascal-gautherot@wanadoo.fr</t>
  </si>
  <si>
    <t>689407179</t>
  </si>
  <si>
    <t>22/04/1966</t>
  </si>
  <si>
    <t>Communiquer sur les réseaux sociaux pour promouvoir sa TPE</t>
  </si>
  <si>
    <t>2026-06-22</t>
  </si>
  <si>
    <t>2026-06-27</t>
  </si>
  <si>
    <t>2026-06-29</t>
  </si>
  <si>
    <t>2026-07-04</t>
  </si>
  <si>
    <t>VIRAPHONG Thuy</t>
  </si>
  <si>
    <t>jules</t>
  </si>
  <si>
    <t>81 CHE De figuerolles, 13180 GIGNAC LA NERTHE</t>
  </si>
  <si>
    <t>johana131@gmail.com</t>
  </si>
  <si>
    <t>769874867</t>
  </si>
  <si>
    <t>15/10/1989</t>
  </si>
  <si>
    <t>POGGI Eric</t>
  </si>
  <si>
    <t>MENDY Jean</t>
  </si>
  <si>
    <t>jean</t>
  </si>
  <si>
    <t>11 CDEP Chemin des broutieres, 13015 MARSEILLE</t>
  </si>
  <si>
    <t>mendyjean1207@gmail.com</t>
  </si>
  <si>
    <t>784862602</t>
  </si>
  <si>
    <t>1987-12-07</t>
  </si>
  <si>
    <t>BOUASRIA Najwa</t>
  </si>
  <si>
    <t>frere karim</t>
  </si>
  <si>
    <t>AV Marius Ruinat, 13700 MARIGNANE</t>
  </si>
  <si>
    <t>najwa.bouasria@gmail.com</t>
  </si>
  <si>
    <t>761272644</t>
  </si>
  <si>
    <t>1997-06-09</t>
  </si>
  <si>
    <t>JAVAZZO Jerome</t>
  </si>
  <si>
    <t>hak</t>
  </si>
  <si>
    <t>KECHIOUCHE Younes</t>
  </si>
  <si>
    <t>LAHRAOUI Amir</t>
  </si>
  <si>
    <t>2026-07-06</t>
  </si>
  <si>
    <t>2026-07-11</t>
  </si>
  <si>
    <t>6  ANS DANS L A REATURATION</t>
  </si>
  <si>
    <t>2026-07-13</t>
  </si>
  <si>
    <t>2026-07-18</t>
  </si>
  <si>
    <t>blot valerie</t>
  </si>
  <si>
    <t>2026-06-24</t>
  </si>
  <si>
    <t>2026-07-24</t>
  </si>
  <si>
    <t>CARRETTA Capucine</t>
  </si>
  <si>
    <t>OUAHAB Yanis</t>
  </si>
  <si>
    <t>priscot</t>
  </si>
  <si>
    <t>FRANGIAN Vazguen</t>
  </si>
  <si>
    <t>2026-07-20</t>
  </si>
  <si>
    <t>2026-07-25</t>
  </si>
  <si>
    <t>2026-07-27</t>
  </si>
  <si>
    <t>2026-08-01</t>
  </si>
  <si>
    <t>MELIKSETIAN Suren</t>
  </si>
  <si>
    <t>ATAYAN Julieta</t>
  </si>
  <si>
    <t>VARDANYAN Anait</t>
  </si>
  <si>
    <t>EL BOUGHABI Adil</t>
  </si>
  <si>
    <t>MOH</t>
  </si>
  <si>
    <t>ALARCON Lucas</t>
  </si>
  <si>
    <t>ARGOUBI Karim</t>
  </si>
  <si>
    <t>DERKAOUI Sandra</t>
  </si>
  <si>
    <t>en attente</t>
  </si>
  <si>
    <t>2026-08-03</t>
  </si>
  <si>
    <t>2026-08-08</t>
  </si>
  <si>
    <t>MASELE MUKONGA Ann</t>
  </si>
  <si>
    <t>2026-08-10</t>
  </si>
  <si>
    <t>2026-08-15</t>
  </si>
  <si>
    <t>SANCHEZ Fabrice</t>
  </si>
  <si>
    <t>LAZREG Redha</t>
  </si>
  <si>
    <t>CATENNE Guillaume</t>
  </si>
  <si>
    <t>BENSAID Lahouari</t>
  </si>
  <si>
    <t>Proskills Institut</t>
  </si>
  <si>
    <t>LAUZERO Jose</t>
  </si>
  <si>
    <t>Jules</t>
  </si>
  <si>
    <t>payé</t>
  </si>
  <si>
    <t>75 VMIN VIEUX CHEMIN D'ISTRES 13300 SALON DE PROVENCE</t>
  </si>
  <si>
    <t>jose.lauzero@gmail.com</t>
  </si>
  <si>
    <t>0687216599</t>
  </si>
  <si>
    <t>2026-05-25</t>
  </si>
  <si>
    <t>2026-05-30</t>
  </si>
  <si>
    <t>2026-06-01</t>
  </si>
  <si>
    <t>2026-06-05</t>
  </si>
  <si>
    <t>MIEGE Cesar</t>
  </si>
  <si>
    <t>2026-05-19</t>
  </si>
  <si>
    <t>75 VMIN Vieux chemin d’istres 13300 SALON DE PROVENCE</t>
  </si>
  <si>
    <t>cesarmege17@gmail.com</t>
  </si>
  <si>
    <t>0686428862</t>
  </si>
  <si>
    <t>NOTES POUR LE DEVELOPPEUR - LOGIQUE DE DECLENCHEMENT DE LA GENERATION DE DOCUMENTS</t>
  </si>
  <si>
    <t>BONILLO Olivier</t>
  </si>
  <si>
    <t>GENERATION "CLASSIQUE" (documents d evaluation standard : analyse du besoin, questionnaire/test, contrat, convocation, eval intermediaire, eval finale, questionnaire satisfaction, document de fin)</t>
  </si>
  <si>
    <t xml:space="preserve">  Condition PRET_GENERATION_CLASSIQUE = VRAI  &lt;=&gt;  Formation (col E) ET Date debut session (col F) ET Date fin session (col G) sont tous renseignes.</t>
  </si>
  <si>
    <t>190 RTE Petite route des milles 13290 AIX EN PROVENCE</t>
  </si>
  <si>
    <t>gilly.oliver1810@gmail.com</t>
  </si>
  <si>
    <t xml:space="preserve">  Autrement dit : l apprenant est considere INSCRIT. Des que c est VRAI, le dossier peut generer ses documents standards.</t>
  </si>
  <si>
    <t>0761243015</t>
  </si>
  <si>
    <t xml:space="preserve">  Le declenchement reel se fait via la case GENERER_MAINTENANT_CLASSIQUE (colonne U), cochee manuellement une fois PRET_GENERATION_CLASSIQUE = VRAI.</t>
  </si>
  <si>
    <t xml:space="preserve">  Condition PRET_GENERATION_WEDOF = VRAI  &lt;=&gt;  CIN ok (col O) = "Fait" ET (CV recu (col N) = "Fait" OU Experience (col P) &lt;&gt; "").</t>
  </si>
  <si>
    <t>T and U == True (Document generate)</t>
  </si>
  <si>
    <t xml:space="preserve">  Le CV peut etre fourni par l apprenant lui-meme (CV recu = Fait) ; sinon, si l Experience est renseignee, l automatisation peut generer le CV elle-meme a partir de cette experience.</t>
  </si>
  <si>
    <t xml:space="preserve">  Le declenchement reel se fait via la case GENERER_MAINTENANT_WEDOF (colonne W), cochee manuellement une fois PRET_GENERATION_WEDOF = VRAI.</t>
  </si>
  <si>
    <t xml:space="preserve">  Le declenchement reel se fait via la case GENERER_MAINTENANT_WEDOF (colonne V), cochee manuellement une fois PRET_GENERATION_WEDOF = VRAI.</t>
  </si>
  <si>
    <t>Code certification (E)</t>
  </si>
  <si>
    <t>Date examen (E)</t>
  </si>
  <si>
    <t>CV recu</t>
  </si>
  <si>
    <t>CIN ok</t>
  </si>
  <si>
    <t>Experience (E)</t>
  </si>
  <si>
    <t>6 dossiers admin ok</t>
  </si>
  <si>
    <t>Lien signature (E)</t>
  </si>
  <si>
    <t>Budget dossier</t>
  </si>
  <si>
    <t>PRET_GENERATION_CLASSIQUE</t>
  </si>
  <si>
    <t>PRET_GENERATION_WEDOF</t>
  </si>
  <si>
    <t>GENERER_MAINTENANT_CLASSIQUE (E)</t>
  </si>
  <si>
    <t>GENERER_MAINTENANT_WEDOF (E)</t>
  </si>
  <si>
    <t>GRAS Arnaud</t>
  </si>
  <si>
    <t>Développer son activité avec l'intelligence artificielle</t>
  </si>
  <si>
    <t>86 RUE francois mauriac 13010 MARSEILLE</t>
  </si>
  <si>
    <t>arnaudgras@hotmail.com</t>
  </si>
  <si>
    <t>0649516676</t>
  </si>
  <si>
    <t>GUILLOU Mael</t>
  </si>
  <si>
    <t>46 RUE Résidence du bosquet 13127 VITROLLES</t>
  </si>
  <si>
    <t>maelguilloux@yahoo.fr</t>
  </si>
  <si>
    <t>0609475106</t>
  </si>
  <si>
    <t>AMEUR Kamel</t>
  </si>
  <si>
    <t>Brian</t>
  </si>
  <si>
    <t>12 RES Rue Arthur lamendin 62430 SALLAUMINES</t>
  </si>
  <si>
    <t>kamel621@outlook.fr</t>
  </si>
  <si>
    <t>0762665937</t>
  </si>
  <si>
    <t>LAUZERO Caroline</t>
  </si>
  <si>
    <t>cclauzero@gmail.com</t>
  </si>
  <si>
    <t>0647572721</t>
  </si>
  <si>
    <t>HUGARD Jose</t>
  </si>
  <si>
    <t>191 RUE Voisin 62110 HENIN BEAUMONT</t>
  </si>
  <si>
    <t>jose.hugard62110@gmail.com</t>
  </si>
  <si>
    <t>0781329761</t>
  </si>
  <si>
    <t>GILLY Laurent</t>
  </si>
  <si>
    <t>190 RTE petite routes des milles 13290 AIX EN PROVENCE</t>
  </si>
  <si>
    <t>laurent@les-garcons-formations.fr</t>
  </si>
  <si>
    <t>0761193855</t>
  </si>
  <si>
    <t>Lien inscription</t>
  </si>
  <si>
    <t>https://www.moncompteformation.gouv.fr/espace-prive/html/#/formation/recherche/97879287700034_ROCTPE4/97879287700034_ROCTPE4</t>
  </si>
  <si>
    <t>Réaliser les opérations comptables courantes d'une TPE E-LEARNING</t>
  </si>
  <si>
    <t>https://www.moncompteformation.gouv.fr/espace-prive/html/#/formation/recherche/97879287700034_ROCTPE4/97879287700034_ROCTPEEL</t>
  </si>
  <si>
    <t>https://www.moncompteformation.gouv.fr/espace-prive/html/#/formation/recherche/97879287700034_CRSTPE/97879287700034_CRSTPE</t>
  </si>
  <si>
    <t>https://www.moncompteformation.gouv.fr/espace-prive/html/#/formation/recherche/97879287700034_AETPEIA/97879287700034_AETPEIA</t>
  </si>
  <si>
    <t>Améliorer l'efficacité de sa TPE à l'aide de l'IA E-learning</t>
  </si>
  <si>
    <t>https://www.moncompteformation.gouv.fr/espace-prive/html/#/formation/recherche/97879287700034_AETPEIA/97879287700034_IAtpeel</t>
  </si>
  <si>
    <t>https://www.moncompteformation.gouv.fr/espace-prive/html/#/formation/recherche/97879287700034_DAIA/97879287700034_DAIA</t>
  </si>
  <si>
    <t>https://www.moncompteformation.gouv.fr/espace-prive/html/#/formation/recherche/95288071400011_ROCTPE/95288071400011_ROCTPE</t>
  </si>
  <si>
    <t>https://www.moncompteformation.gouv.fr/espace-prive/html/#/formation/recherche/95288071400011_DAIA/95288071400011_IA1</t>
  </si>
  <si>
    <t>https://www.moncompteformation.gouv.fr/espace-prive/html/#/formation/recherche/95288071400011_CRSTPE/95288071400011_CRSTPE</t>
  </si>
  <si>
    <t>https://www.moncompteformation.gouv.fr/espace-prive/html/#/formation/recherche/95288071400011_AETPEIA/95288071400011_AETPEIA</t>
  </si>
  <si>
    <t>https://www.moncompteformation.gouv.fr/espace-prive/html/#/formation/recherche/95288071400011_AETPEIA/95288071400011_IATPEEL</t>
  </si>
  <si>
    <t>Recueil des besoins – Formation certifiante RS6485 Réaliser les opérations comptables courantes d’une TPE  PROSKILLS INSTITUT</t>
  </si>
  <si>
    <t>https://docs.google.com/forms/d/e/1FAIpQLSf2BU_e-et5_tsbPZDGODI5zhSHPBQgpyIeqpK0sohsnFhr_A/viewform?usp=header</t>
  </si>
  <si>
    <t>Recueil des besoins - Formation Améliorer l’efficacité de sa TPE à l’aide del’intelligence artificielle RS7311</t>
  </si>
  <si>
    <t>https://docs.google.com/forms/d/e/1FAIpQLSf6ydjWma59QAOpgR9xpY3AzbgNV1Z-jv6IY_TbGgXbpxMK3Q/viewform?usp=publish-editor</t>
  </si>
  <si>
    <t>Recueil des besoins –  Développer son activité avec l’intelligence artificielle  RS7344 PROSKILLS INSTIUT</t>
  </si>
  <si>
    <t>https://docs.google.com/forms/d/e/1FAIpQLSfUOdy5rn_uIGcqwAo-aW59IxoWrEcfqcknfXljEY6wRtllAQ/viewform?usp=header</t>
  </si>
  <si>
    <t>Receuil des Besoins en Formation : Communiquer sur les Réseaux Sociaux RS7200 PROSKILLS INSTITUT</t>
  </si>
  <si>
    <t>https://docs.google.com/forms/d/e/1FAIpQLSep5zq2RUUpu3TeSQDR72Udy9B4diBX_loZFyya00JJmpGsWg/viewform?usp=header</t>
  </si>
  <si>
    <t>Test de Positionnement : Améliorer l’efficacité de sa TPE à l’aide de l’IA RS7311</t>
  </si>
  <si>
    <t>https://docs.google.com/forms/d/e/1FAIpQLSefrOt_kr-8m7MUfbvqCOvXf--Njp6hXG3dyZjxnXnO32bquQ/viewform</t>
  </si>
  <si>
    <t>TEST DE POSITIONNEMENT Réaliser les opérations comptables courantes d'une TPE PROSKILLS INSTITUT</t>
  </si>
  <si>
    <t>https://docs.google.com/forms/d/e/1FAIpQLSf89Y4VAx-2gy3Bta91sM3vmq_ThYV76cpDthwhwgQDmYH-8Q/viewform?usp=publish-editor</t>
  </si>
  <si>
    <t>Mona Bahar</t>
  </si>
  <si>
    <t>2026-05-26</t>
  </si>
  <si>
    <t>2 RUE André Calvin 13700 MARIGNANE</t>
  </si>
  <si>
    <t>monabahar@outlook.fr</t>
  </si>
  <si>
    <t>0783626910</t>
  </si>
  <si>
    <t>REIG Stephane</t>
  </si>
  <si>
    <t>15 BD du vaissaux 13009 MARSEILLE</t>
  </si>
  <si>
    <t>stephane.reig1@orange.fr</t>
  </si>
  <si>
    <t>0615817731</t>
  </si>
  <si>
    <t>BAHAR Achraf</t>
  </si>
  <si>
    <t>9 IMP Impasse du gourg 13127 VITROLLES</t>
  </si>
  <si>
    <t>achraf.baharp@gmail.com</t>
  </si>
  <si>
    <t>0668689045</t>
  </si>
  <si>
    <t>SYNTHESE PAR APPORTEUR</t>
  </si>
  <si>
    <t>Nb dossiers</t>
  </si>
  <si>
    <t>Total commission due</t>
  </si>
  <si>
    <t>Deja versee</t>
  </si>
  <si>
    <t>Reste a verser</t>
  </si>
  <si>
    <t>Nb en retard</t>
  </si>
  <si>
    <t>LAREF Faouzi</t>
  </si>
  <si>
    <t>350 BD National 13003 MARSEILLE</t>
  </si>
  <si>
    <t>laref.ferroudja@yahoo.fr</t>
  </si>
  <si>
    <t>0634554074</t>
  </si>
  <si>
    <t>SCHIANCHI Emmanuel</t>
  </si>
  <si>
    <t>24 RUE Marengo  13006 MARSEILLE</t>
  </si>
  <si>
    <t>manu.schianchi@gmail.com</t>
  </si>
  <si>
    <t>0666482176</t>
  </si>
  <si>
    <t>TOTAL</t>
  </si>
  <si>
    <t>CHIFFRE D AFFAIRES ANTICIPE PAR MOIS ET PAR ORGANISME (previsionnel tresorerie, base paiement a J+35)</t>
  </si>
  <si>
    <t>Mois de paiement</t>
  </si>
  <si>
    <t>Nb dossiers Proforma</t>
  </si>
  <si>
    <t>CA prevu Proforma (E)</t>
  </si>
  <si>
    <t>Yasmina Bessa</t>
  </si>
  <si>
    <t>Nb dossiers Proskills</t>
  </si>
  <si>
    <t>Jean</t>
  </si>
  <si>
    <t>CA prevu Proskills (E)</t>
  </si>
  <si>
    <t>Nb dossiers Total</t>
  </si>
  <si>
    <t>CA prevu Total (E)</t>
  </si>
  <si>
    <t>avril 2026</t>
  </si>
  <si>
    <t>52 BD Louis villecroze 13014 MARSEILLE</t>
  </si>
  <si>
    <t>rekika.yasmina@gmail.com</t>
  </si>
  <si>
    <t>0669596133</t>
  </si>
  <si>
    <t>mai 2026</t>
  </si>
  <si>
    <t>juin 2026</t>
  </si>
  <si>
    <t>Lyess Mohamed</t>
  </si>
  <si>
    <t>32 TRA De gibbes 13003 MARSEILLE</t>
  </si>
  <si>
    <t>lyessm210711@gmail.com</t>
  </si>
  <si>
    <t>0761703962</t>
  </si>
  <si>
    <t>juillet 2026</t>
  </si>
  <si>
    <t>BASCUNANA Jean-Christophe</t>
  </si>
  <si>
    <t>14 AV Fuveau 13013 MARSEILLE</t>
  </si>
  <si>
    <t>jcbascunana@gmail.com</t>
  </si>
  <si>
    <t>0623704619</t>
  </si>
  <si>
    <t>aout 2026</t>
  </si>
  <si>
    <t>septembre 2026</t>
  </si>
  <si>
    <t>BUIDIN Michael</t>
  </si>
  <si>
    <t>17 RUE Marquis de condorcet 13700 MARIGNANE</t>
  </si>
  <si>
    <t>michael.om.dd@live.fr</t>
  </si>
  <si>
    <t>0622744148</t>
  </si>
  <si>
    <t>JIMENEZ Joris</t>
  </si>
  <si>
    <t>370 PARC Parc des amandiers 13170 LES PENNES MIRABEAU</t>
  </si>
  <si>
    <t>Jorisjimenez@outlook.fr</t>
  </si>
  <si>
    <t>0777754770</t>
  </si>
  <si>
    <t>MERAH Sarah</t>
  </si>
  <si>
    <t>75 RUE De la joliette 13002 MARSEILLE</t>
  </si>
  <si>
    <t>sarirou@icloud.com</t>
  </si>
  <si>
    <t>0698791399</t>
  </si>
  <si>
    <t>TORRES Aurore</t>
  </si>
  <si>
    <t>AV Batistin raphael 13240 SEPTEMES LES VALLONS</t>
  </si>
  <si>
    <t>laurette13240@hotmail.fr</t>
  </si>
  <si>
    <t>0660080861</t>
  </si>
  <si>
    <t>MAKHLOUF Ahmed</t>
  </si>
  <si>
    <t>RUE Des galaxies 13015 MARSEILLE</t>
  </si>
  <si>
    <t>makamed@laposte.net</t>
  </si>
  <si>
    <t>0616135827</t>
  </si>
  <si>
    <t>BOUMEZIOUD Nassim</t>
  </si>
  <si>
    <t>2 RUE Rue Jaume 13220 CHATEAUNEUF LES MARTIGUES</t>
  </si>
  <si>
    <t>nassimboumezioud@gmail.com</t>
  </si>
  <si>
    <t>0625126277</t>
  </si>
  <si>
    <t>ESPINEIRA Bryan</t>
  </si>
  <si>
    <t>4 IMP Florent Evrard 62220 CARVIN</t>
  </si>
  <si>
    <t>espineira.b@gmail.com</t>
  </si>
  <si>
    <t>0663741170</t>
  </si>
  <si>
    <t>EL ARBAOUI Salwa</t>
  </si>
  <si>
    <t>70 RUE Glenmor 35410 CHATEAUGIRON</t>
  </si>
  <si>
    <t>salwaelarbaoui@gmail.com</t>
  </si>
  <si>
    <t>767868281</t>
  </si>
  <si>
    <t>MAECHA Ismail</t>
  </si>
  <si>
    <t>17 QUA 17 rue Lucien rolmer 13003 MARSEILLE</t>
  </si>
  <si>
    <t>ismasaifi@outlook.fr</t>
  </si>
  <si>
    <t>0668612858</t>
  </si>
  <si>
    <t>VARDANYAN Irina</t>
  </si>
  <si>
    <t>BIANCO Sebastien</t>
  </si>
  <si>
    <t>25 AV De la Petite Suisse 13012 MARSEILLE</t>
  </si>
  <si>
    <t>0613475070</t>
  </si>
  <si>
    <t>FRANGIAN David</t>
  </si>
  <si>
    <t>1 RUE Du malagroy 13140 MIRAMAS</t>
  </si>
  <si>
    <t>0664580361</t>
  </si>
  <si>
    <t>BOGGIO Issan</t>
  </si>
  <si>
    <t>5 AV Henri romain boyer 13015 MARSEILL</t>
  </si>
  <si>
    <t>Boggioissan@gmail.com</t>
  </si>
  <si>
    <t>0769502872</t>
  </si>
  <si>
    <t>ARGOUBI Mohamed-Salah</t>
  </si>
  <si>
    <t>CHAOUCH Nabil</t>
  </si>
  <si>
    <t>2026-07-28</t>
  </si>
  <si>
    <t>BESSA Oussama</t>
  </si>
  <si>
    <t>NOUIRI Ryad</t>
  </si>
  <si>
    <t>RUIZ Thomas</t>
  </si>
  <si>
    <t>BOGGIO Andre</t>
  </si>
  <si>
    <t>2026-08-17</t>
  </si>
  <si>
    <t>2026-08-22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</si>
</sst>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e&quot;"/>
    <numFmt numFmtId="165" formatCode="D/M/YYYY"/>
  </numFmts>
  <fonts count="13">
    <font>
      <sz val="10.0"/>
      <color rgb="FF000000"/>
      <name val="Arial"/>
      <scheme val="minor"/>
    </font>
    <font>
      <b/>
      <sz val="16.0"/>
      <color rgb="FF305496"/>
      <name val="Arial"/>
    </font>
    <font>
      <b/>
      <sz val="11.0"/>
      <color rgb="FFFFFFFF"/>
      <name val="Arial"/>
    </font>
    <font>
      <i/>
      <sz val="9.0"/>
      <color rgb="FF595959"/>
      <name val="Arial"/>
    </font>
    <font>
      <b/>
      <sz val="12.0"/>
      <color rgb="FF305496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rgb="FF0000FF"/>
      <name val="Arial"/>
    </font>
    <font>
      <b/>
      <sz val="13.0"/>
      <color rgb="FF305496"/>
      <name val="Arial"/>
    </font>
    <font>
      <i/>
      <sz val="10.0"/>
      <color theme="1"/>
      <name val="Arial"/>
    </font>
    <font>
      <b/>
      <sz val="11.0"/>
      <color theme="1"/>
      <name val="Cambria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3" fontId="6" numFmtId="0" xfId="0" applyBorder="1" applyFill="1" applyFont="1"/>
    <xf borderId="0" fillId="0" fontId="4" numFmtId="164" xfId="0" applyFont="1" applyNumberFormat="1"/>
    <xf borderId="0" fillId="0" fontId="6" numFmtId="165" xfId="0" applyFont="1" applyNumberFormat="1"/>
    <xf borderId="0" fillId="0" fontId="7" numFmtId="0" xfId="0" applyFont="1"/>
    <xf borderId="0" fillId="0" fontId="8" numFmtId="0" xfId="0" applyFont="1"/>
    <xf borderId="0" fillId="0" fontId="2" numFmtId="0" xfId="0" applyFont="1"/>
    <xf borderId="1" fillId="3" fontId="6" numFmtId="9" xfId="0" applyBorder="1" applyFont="1" applyNumberFormat="1"/>
    <xf borderId="0" fillId="0" fontId="6" numFmtId="9" xfId="0" applyFont="1" applyNumberFormat="1"/>
    <xf borderId="1" fillId="4" fontId="6" numFmtId="0" xfId="0" applyBorder="1" applyFill="1" applyFont="1"/>
    <xf borderId="1" fillId="4" fontId="6" numFmtId="9" xfId="0" applyBorder="1" applyFont="1" applyNumberFormat="1"/>
    <xf borderId="0" fillId="0" fontId="9" numFmtId="0" xfId="0" applyFont="1"/>
    <xf borderId="0" fillId="0" fontId="10" numFmtId="0" xfId="0" applyFont="1"/>
    <xf borderId="0" fillId="0" fontId="7" numFmtId="0" xfId="0" applyAlignment="1" applyFont="1">
      <alignment readingOrder="0"/>
    </xf>
    <xf borderId="0" fillId="0" fontId="11" numFmtId="0" xfId="0" applyFont="1"/>
    <xf borderId="1" fillId="2" fontId="2" numFmtId="0" xfId="0" applyAlignment="1" applyBorder="1" applyFont="1">
      <alignment horizontal="center"/>
    </xf>
    <xf borderId="2" fillId="0" fontId="12" numFmtId="0" xfId="0" applyBorder="1" applyFont="1"/>
    <xf borderId="2" fillId="0" fontId="11" numFmtId="0" xfId="0" applyBorder="1" applyFont="1"/>
  </cellXfs>
  <cellStyles count="1">
    <cellStyle xfId="0" name="Normal" builtinId="0"/>
  </cellStyles>
  <dxfs count="4">
    <dxf>
      <font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.0"/>
    <col customWidth="1" min="2" max="2" width="16.0"/>
    <col customWidth="1" min="3" max="3" width="22.0"/>
    <col customWidth="1" min="4" max="4" width="13.0"/>
    <col customWidth="1" min="5" max="5" width="40.0"/>
    <col customWidth="1" min="6" max="6" width="10.0"/>
    <col customWidth="1" min="7" max="7" width="40.0"/>
    <col customWidth="1" min="8" max="8" width="30.0"/>
    <col customWidth="1" min="9" max="11" width="20.0"/>
    <col customWidth="1" min="12" max="26" width="8.63"/>
  </cols>
  <sheetData>
    <row r="1" ht="12.75" customHeight="1"/>
    <row r="2" ht="19.5" customHeight="1">
      <c r="B2" s="1" t="s">
        <v>1</v>
      </c>
    </row>
    <row r="3" ht="15.0" customHeight="1">
      <c r="B3" s="3" t="s">
        <v>2</v>
      </c>
    </row>
    <row r="4" ht="12.75" customHeight="1"/>
    <row r="5" ht="12.75" customHeight="1"/>
    <row r="6" ht="15.0" customHeight="1">
      <c r="B6" s="4" t="s">
        <v>4</v>
      </c>
    </row>
    <row r="7" ht="15.0" customHeight="1">
      <c r="B7" s="5" t="s">
        <v>7</v>
      </c>
      <c r="D7" s="4">
        <f>COUNTIF(APPRENANTS!$B$2:$B$153,"?*")</f>
        <v>152</v>
      </c>
    </row>
    <row r="8" ht="15.0" customHeight="1">
      <c r="B8" s="5" t="s">
        <v>30</v>
      </c>
      <c r="D8" s="4">
        <f>COUNTIF(APPRENANTS!$U$2:$U$153,"?*")</f>
        <v>152</v>
      </c>
    </row>
    <row r="9" ht="15.0" customHeight="1">
      <c r="B9" s="5" t="s">
        <v>38</v>
      </c>
      <c r="D9" s="4">
        <f>COUNTIF(APPRENANTS!$W$2:$W$153,"?*")</f>
        <v>106</v>
      </c>
    </row>
    <row r="10" ht="15.0" customHeight="1">
      <c r="B10" s="5" t="s">
        <v>43</v>
      </c>
      <c r="D10" s="4">
        <f>COUNTIF(APPRENANTS!$X$2:$X$153,"?*")</f>
        <v>0</v>
      </c>
    </row>
    <row r="11" ht="15.0" customHeight="1">
      <c r="B11" s="5" t="s">
        <v>49</v>
      </c>
      <c r="D11" s="4">
        <f>COUNTIF('WEDOF - EXAMEN FINAL'!$M$2:$M$153,"?*")</f>
        <v>143</v>
      </c>
    </row>
    <row r="12" ht="15.0" customHeight="1">
      <c r="B12" s="5" t="s">
        <v>52</v>
      </c>
      <c r="D12" s="4">
        <f>COUNTIF('PAIEMENTS &amp; COMMISSIONS'!$L$2:$L$153,"En retard - a verser")</f>
        <v>57</v>
      </c>
    </row>
    <row r="13" ht="15.0" customHeight="1">
      <c r="B13" s="5" t="s">
        <v>54</v>
      </c>
      <c r="D13" s="8">
        <f>SUM('PAIEMENTS &amp; COMMISSIONS'!$O$2:$O$153)</f>
        <v>216000</v>
      </c>
    </row>
    <row r="14" ht="15.0" customHeight="1">
      <c r="B14" s="5" t="s">
        <v>62</v>
      </c>
      <c r="D14" s="8">
        <f>SUM('PAIEMENTS &amp; COMMISSIONS'!$P$2:$P$153)</f>
        <v>109875</v>
      </c>
    </row>
    <row r="15" ht="15.0" customHeight="1">
      <c r="B15" s="5" t="s">
        <v>65</v>
      </c>
      <c r="D15" s="4">
        <f>COUNTIF(AUTOMATISATION!$T$13:$T$164,TRUE())</f>
        <v>139</v>
      </c>
    </row>
    <row r="16" ht="15.0" customHeight="1">
      <c r="B16" s="5" t="s">
        <v>66</v>
      </c>
      <c r="D16" s="4">
        <f>COUNTIF(AUTOMATISATION!$U$13:$U$164,TRUE())</f>
        <v>19</v>
      </c>
    </row>
    <row r="17" ht="12.75" customHeight="1">
      <c r="B17" s="5" t="s">
        <v>69</v>
      </c>
      <c r="D17" s="4">
        <f>COUNTIF(APPRENANTS!$Y$2:$Y$153,"Non")</f>
        <v>8</v>
      </c>
    </row>
    <row r="18" ht="12.75" customHeight="1"/>
    <row r="19" ht="15.0" customHeight="1">
      <c r="B19" s="4" t="s">
        <v>70</v>
      </c>
    </row>
    <row r="20" ht="39.0" customHeight="1">
      <c r="B20" s="2" t="s">
        <v>0</v>
      </c>
      <c r="C20" s="2" t="s">
        <v>3</v>
      </c>
      <c r="D20" s="2" t="s">
        <v>5</v>
      </c>
      <c r="E20" s="2" t="s">
        <v>71</v>
      </c>
      <c r="F20" s="2" t="s">
        <v>45</v>
      </c>
      <c r="G20" s="2" t="s">
        <v>72</v>
      </c>
      <c r="H20" s="2" t="s">
        <v>46</v>
      </c>
      <c r="I20" s="2" t="s">
        <v>48</v>
      </c>
      <c r="J20" s="2" t="s">
        <v>28</v>
      </c>
      <c r="K20" s="12" t="s">
        <v>34</v>
      </c>
    </row>
    <row r="21" ht="15.0" customHeight="1">
      <c r="B21" s="6" t="str">
        <f>APPRENANTS!A2</f>
        <v>Proforma Institut</v>
      </c>
      <c r="C21" s="6" t="str">
        <f>APPRENANTS!B2</f>
        <v>Mohamed Ait Baha</v>
      </c>
      <c r="D21" s="6" t="str">
        <f>APPRENANTS!C2</f>
        <v>Djody</v>
      </c>
      <c r="E21" s="6" t="str">
        <f>APPRENANTS!U2</f>
        <v>Analyse du besoin, CV</v>
      </c>
      <c r="F21" s="14">
        <f>APPRENANTS!V2</f>
        <v>0.7777777778</v>
      </c>
      <c r="G21" s="6" t="str">
        <f>'WEDOF - EXAMEN FINAL'!M2</f>
        <v>CV, CIN, 6 dossiers admin</v>
      </c>
      <c r="H21" s="6" t="str">
        <f>APPRENANTS!W2</f>
        <v>A RELANCER : Analyse du besoin, CV</v>
      </c>
      <c r="I21" s="6" t="str">
        <f>APPRENANTS!X2</f>
        <v/>
      </c>
      <c r="J21" s="6" t="str">
        <f>'PAIEMENTS &amp; COMMISSIONS'!L2</f>
        <v>En retard - a verser</v>
      </c>
      <c r="K21" s="10" t="str">
        <f>APPRENANTS!Y2</f>
        <v>Oui</v>
      </c>
    </row>
    <row r="22" ht="15.0" customHeight="1">
      <c r="B22" s="6" t="str">
        <f>APPRENANTS!A3</f>
        <v>Proforma Institut</v>
      </c>
      <c r="C22" s="6" t="str">
        <f>APPRENANTS!B3</f>
        <v>Frederic Roche</v>
      </c>
      <c r="D22" s="6" t="str">
        <f>APPRENANTS!C3</f>
        <v>Nedjma</v>
      </c>
      <c r="E22" s="6" t="str">
        <f>APPRENANTS!U3</f>
        <v>Analyse du besoin</v>
      </c>
      <c r="F22" s="14">
        <f>APPRENANTS!V3</f>
        <v>0.8888888889</v>
      </c>
      <c r="G22" s="6" t="str">
        <f>'WEDOF - EXAMEN FINAL'!M3</f>
        <v>CIN</v>
      </c>
      <c r="H22" s="6" t="str">
        <f>APPRENANTS!W3</f>
        <v>A RELANCER : Analyse du besoin</v>
      </c>
      <c r="I22" s="6" t="str">
        <f>APPRENANTS!X3</f>
        <v/>
      </c>
      <c r="J22" s="6" t="str">
        <f>'PAIEMENTS &amp; COMMISSIONS'!L3</f>
        <v>En retard - a verser</v>
      </c>
      <c r="K22" s="10" t="str">
        <f>APPRENANTS!Y3</f>
        <v>Oui</v>
      </c>
    </row>
    <row r="23" ht="15.0" customHeight="1">
      <c r="B23" s="6" t="str">
        <f>APPRENANTS!A4</f>
        <v>Proforma Institut</v>
      </c>
      <c r="C23" s="6" t="str">
        <f>APPRENANTS!B4</f>
        <v>SIAF Kamla</v>
      </c>
      <c r="D23" s="6" t="str">
        <f>APPRENANTS!C4</f>
        <v>Nedjma</v>
      </c>
      <c r="E23" s="6" t="str">
        <f>APPRENANTS!U4</f>
        <v>Analyse du besoin, CV</v>
      </c>
      <c r="F23" s="14">
        <f>APPRENANTS!V4</f>
        <v>0.7777777778</v>
      </c>
      <c r="G23" s="6" t="str">
        <f>'WEDOF - EXAMEN FINAL'!M4</f>
        <v>CV, CIN, 6 dossiers admin</v>
      </c>
      <c r="H23" s="6" t="str">
        <f>APPRENANTS!W4</f>
        <v>A RELANCER : Analyse du besoin, CV</v>
      </c>
      <c r="I23" s="6" t="str">
        <f>APPRENANTS!X4</f>
        <v/>
      </c>
      <c r="J23" s="6" t="str">
        <f>'PAIEMENTS &amp; COMMISSIONS'!L4</f>
        <v>En retard - a verser</v>
      </c>
      <c r="K23" s="10" t="str">
        <f>APPRENANTS!Y4</f>
        <v>Oui</v>
      </c>
    </row>
    <row r="24" ht="15.0" customHeight="1">
      <c r="B24" s="6" t="str">
        <f>APPRENANTS!A5</f>
        <v>Proforma Institut</v>
      </c>
      <c r="C24" s="6" t="str">
        <f>APPRENANTS!B5</f>
        <v>HAFIDHOU Mansouri</v>
      </c>
      <c r="D24" s="6" t="str">
        <f>APPRENANTS!C5</f>
        <v>Nedjma</v>
      </c>
      <c r="E24" s="6" t="str">
        <f>APPRENANTS!U5</f>
        <v>Analyse du besoin</v>
      </c>
      <c r="F24" s="14">
        <f>APPRENANTS!V5</f>
        <v>0.8888888889</v>
      </c>
      <c r="G24" s="6" t="str">
        <f>'WEDOF - EXAMEN FINAL'!M5</f>
        <v/>
      </c>
      <c r="H24" s="6" t="str">
        <f>APPRENANTS!W5</f>
        <v>A RELANCER : Analyse du besoin</v>
      </c>
      <c r="I24" s="6" t="str">
        <f>APPRENANTS!X5</f>
        <v/>
      </c>
      <c r="J24" s="6" t="str">
        <f>'PAIEMENTS &amp; COMMISSIONS'!L5</f>
        <v>En retard - a verser</v>
      </c>
      <c r="K24" s="10" t="str">
        <f>APPRENANTS!Y5</f>
        <v>Oui</v>
      </c>
    </row>
    <row r="25" ht="15.0" customHeight="1">
      <c r="B25" s="6" t="str">
        <f>APPRENANTS!A6</f>
        <v>Proforma Institut</v>
      </c>
      <c r="C25" s="6" t="str">
        <f>APPRENANTS!B6</f>
        <v>DELGADO DA CRUZ Francisco</v>
      </c>
      <c r="D25" s="6" t="str">
        <f>APPRENANTS!C6</f>
        <v>Nedjma</v>
      </c>
      <c r="E25" s="6" t="str">
        <f>APPRENANTS!U6</f>
        <v>Analyse du besoin</v>
      </c>
      <c r="F25" s="14">
        <f>APPRENANTS!V6</f>
        <v>0.8888888889</v>
      </c>
      <c r="G25" s="6" t="str">
        <f>'WEDOF - EXAMEN FINAL'!M6</f>
        <v/>
      </c>
      <c r="H25" s="6" t="str">
        <f>APPRENANTS!W6</f>
        <v>A RELANCER : Analyse du besoin</v>
      </c>
      <c r="I25" s="6" t="str">
        <f>APPRENANTS!X6</f>
        <v/>
      </c>
      <c r="J25" s="6" t="str">
        <f>'PAIEMENTS &amp; COMMISSIONS'!L6</f>
        <v>En retard - a verser</v>
      </c>
      <c r="K25" s="10" t="str">
        <f>APPRENANTS!Y6</f>
        <v>Oui</v>
      </c>
    </row>
    <row r="26" ht="15.0" customHeight="1">
      <c r="B26" s="6" t="str">
        <f>APPRENANTS!A7</f>
        <v>Proforma Institut</v>
      </c>
      <c r="C26" s="6" t="str">
        <f>APPRENANTS!B7</f>
        <v>DOUMENC Christophe</v>
      </c>
      <c r="D26" s="6" t="str">
        <f>APPRENANTS!C7</f>
        <v>Nedjma</v>
      </c>
      <c r="E26" s="6" t="str">
        <f>APPRENANTS!U7</f>
        <v>Analyse du besoin</v>
      </c>
      <c r="F26" s="14">
        <f>APPRENANTS!V7</f>
        <v>0.8888888889</v>
      </c>
      <c r="G26" s="6" t="str">
        <f>'WEDOF - EXAMEN FINAL'!M7</f>
        <v/>
      </c>
      <c r="H26" s="6" t="str">
        <f>APPRENANTS!W7</f>
        <v>A RELANCER : Analyse du besoin</v>
      </c>
      <c r="I26" s="6" t="str">
        <f>APPRENANTS!X7</f>
        <v/>
      </c>
      <c r="J26" s="6" t="str">
        <f>'PAIEMENTS &amp; COMMISSIONS'!L7</f>
        <v>En retard - a verser</v>
      </c>
      <c r="K26" s="10" t="str">
        <f>APPRENANTS!Y7</f>
        <v>Oui</v>
      </c>
    </row>
    <row r="27" ht="15.0" customHeight="1">
      <c r="B27" s="6" t="str">
        <f>APPRENANTS!A8</f>
        <v>Proforma Institut</v>
      </c>
      <c r="C27" s="6" t="str">
        <f>APPRENANTS!B8</f>
        <v>AHAMADA BOURHANE Soilihi</v>
      </c>
      <c r="D27" s="6" t="str">
        <f>APPRENANTS!C8</f>
        <v>Nedjma</v>
      </c>
      <c r="E27" s="6" t="str">
        <f>APPRENANTS!U8</f>
        <v>Analyse du besoin, Document de fin</v>
      </c>
      <c r="F27" s="14">
        <f>APPRENANTS!V8</f>
        <v>0.7777777778</v>
      </c>
      <c r="G27" s="6" t="str">
        <f>'WEDOF - EXAMEN FINAL'!M8</f>
        <v/>
      </c>
      <c r="H27" s="6" t="str">
        <f>APPRENANTS!W8</f>
        <v>A RELANCER : Analyse du besoin, Document de fin</v>
      </c>
      <c r="I27" s="6" t="str">
        <f>APPRENANTS!X8</f>
        <v/>
      </c>
      <c r="J27" s="6" t="str">
        <f>'PAIEMENTS &amp; COMMISSIONS'!L8</f>
        <v>En retard - a verser</v>
      </c>
      <c r="K27" s="10" t="str">
        <f>APPRENANTS!Y8</f>
        <v>Oui</v>
      </c>
    </row>
    <row r="28" ht="15.0" customHeight="1">
      <c r="B28" s="6" t="str">
        <f>APPRENANTS!A9</f>
        <v>Proforma Institut</v>
      </c>
      <c r="C28" s="6" t="str">
        <f>APPRENANTS!B9</f>
        <v>BENGUEDIH Kader</v>
      </c>
      <c r="D28" s="6" t="str">
        <f>APPRENANTS!C9</f>
        <v>Nedjma</v>
      </c>
      <c r="E28" s="6" t="str">
        <f>APPRENANTS!U9</f>
        <v>Analyse du besoin, Document de fin</v>
      </c>
      <c r="F28" s="14">
        <f>APPRENANTS!V9</f>
        <v>0.7777777778</v>
      </c>
      <c r="G28" s="6" t="str">
        <f>'WEDOF - EXAMEN FINAL'!M9</f>
        <v>CIN</v>
      </c>
      <c r="H28" s="6" t="str">
        <f>APPRENANTS!W9</f>
        <v>A RELANCER : Analyse du besoin, Document de fin</v>
      </c>
      <c r="I28" s="6" t="str">
        <f>APPRENANTS!X9</f>
        <v/>
      </c>
      <c r="J28" s="6" t="str">
        <f>'PAIEMENTS &amp; COMMISSIONS'!L9</f>
        <v>En retard - a verser</v>
      </c>
      <c r="K28" s="10" t="str">
        <f>APPRENANTS!Y9</f>
        <v>Oui</v>
      </c>
    </row>
    <row r="29" ht="15.0" customHeight="1">
      <c r="B29" s="6" t="str">
        <f>APPRENANTS!A10</f>
        <v>Proforma Institut</v>
      </c>
      <c r="C29" s="6" t="str">
        <f>APPRENANTS!B10</f>
        <v>Julie Scotto D Aniello</v>
      </c>
      <c r="D29" s="6" t="str">
        <f>APPRENANTS!C10</f>
        <v>Sabri</v>
      </c>
      <c r="E29" s="6" t="str">
        <f>APPRENANTS!U10</f>
        <v>Analyse du besoin</v>
      </c>
      <c r="F29" s="14">
        <f>APPRENANTS!V10</f>
        <v>0.8888888889</v>
      </c>
      <c r="G29" s="6" t="str">
        <f>'WEDOF - EXAMEN FINAL'!M10</f>
        <v/>
      </c>
      <c r="H29" s="6" t="str">
        <f>APPRENANTS!W10</f>
        <v>A RELANCER : Analyse du besoin</v>
      </c>
      <c r="I29" s="6" t="str">
        <f>APPRENANTS!X10</f>
        <v/>
      </c>
      <c r="J29" s="6" t="str">
        <f>'PAIEMENTS &amp; COMMISSIONS'!L10</f>
        <v>En retard - a verser</v>
      </c>
      <c r="K29" s="10" t="str">
        <f>APPRENANTS!Y10</f>
        <v>Oui</v>
      </c>
    </row>
    <row r="30" ht="15.0" customHeight="1">
      <c r="B30" s="6" t="str">
        <f>APPRENANTS!A11</f>
        <v>Proforma Institut</v>
      </c>
      <c r="C30" s="6" t="str">
        <f>APPRENANTS!B11</f>
        <v>Malik Benameur</v>
      </c>
      <c r="D30" s="6" t="str">
        <f>APPRENANTS!C11</f>
        <v>Sabri</v>
      </c>
      <c r="E30" s="6" t="str">
        <f>APPRENANTS!U11</f>
        <v>Analyse du besoin</v>
      </c>
      <c r="F30" s="14">
        <f>APPRENANTS!V11</f>
        <v>0.8888888889</v>
      </c>
      <c r="G30" s="6" t="str">
        <f>'WEDOF - EXAMEN FINAL'!M11</f>
        <v/>
      </c>
      <c r="H30" s="6" t="str">
        <f>APPRENANTS!W11</f>
        <v>A RELANCER : Analyse du besoin</v>
      </c>
      <c r="I30" s="6" t="str">
        <f>APPRENANTS!X11</f>
        <v/>
      </c>
      <c r="J30" s="6" t="str">
        <f>'PAIEMENTS &amp; COMMISSIONS'!L11</f>
        <v>En retard - a verser</v>
      </c>
      <c r="K30" s="10" t="str">
        <f>APPRENANTS!Y11</f>
        <v>Oui</v>
      </c>
    </row>
    <row r="31" ht="15.0" customHeight="1">
      <c r="B31" s="6" t="str">
        <f>APPRENANTS!A12</f>
        <v>Proforma Institut</v>
      </c>
      <c r="C31" s="6" t="str">
        <f>APPRENANTS!B12</f>
        <v>LEROY Aurelie</v>
      </c>
      <c r="D31" s="6" t="str">
        <f>APPRENANTS!C12</f>
        <v>Sabri</v>
      </c>
      <c r="E31" s="6" t="str">
        <f>APPRENANTS!U12</f>
        <v>Analyse du besoin</v>
      </c>
      <c r="F31" s="14">
        <f>APPRENANTS!V12</f>
        <v>0.8888888889</v>
      </c>
      <c r="G31" s="6" t="str">
        <f>'WEDOF - EXAMEN FINAL'!M12</f>
        <v/>
      </c>
      <c r="H31" s="6" t="str">
        <f>APPRENANTS!W12</f>
        <v>A RELANCER : Analyse du besoin</v>
      </c>
      <c r="I31" s="6" t="str">
        <f>APPRENANTS!X12</f>
        <v/>
      </c>
      <c r="J31" s="6" t="str">
        <f>'PAIEMENTS &amp; COMMISSIONS'!L12</f>
        <v>En retard - a verser</v>
      </c>
      <c r="K31" s="10" t="str">
        <f>APPRENANTS!Y12</f>
        <v>Oui</v>
      </c>
    </row>
    <row r="32" ht="15.0" customHeight="1">
      <c r="B32" s="6" t="str">
        <f>APPRENANTS!A13</f>
        <v>Proforma Institut</v>
      </c>
      <c r="C32" s="6" t="str">
        <f>APPRENANTS!B13</f>
        <v>SANIGOU Livan</v>
      </c>
      <c r="D32" s="6" t="str">
        <f>APPRENANTS!C13</f>
        <v>Sabri</v>
      </c>
      <c r="E32" s="6" t="str">
        <f>APPRENANTS!U13</f>
        <v>Analyse du besoin</v>
      </c>
      <c r="F32" s="14">
        <f>APPRENANTS!V13</f>
        <v>0.8888888889</v>
      </c>
      <c r="G32" s="6" t="str">
        <f>'WEDOF - EXAMEN FINAL'!M13</f>
        <v/>
      </c>
      <c r="H32" s="6" t="str">
        <f>APPRENANTS!W13</f>
        <v>A RELANCER : Analyse du besoin</v>
      </c>
      <c r="I32" s="6" t="str">
        <f>APPRENANTS!X13</f>
        <v/>
      </c>
      <c r="J32" s="6" t="str">
        <f>'PAIEMENTS &amp; COMMISSIONS'!L13</f>
        <v>En retard - a verser</v>
      </c>
      <c r="K32" s="10" t="str">
        <f>APPRENANTS!Y13</f>
        <v>Oui</v>
      </c>
    </row>
    <row r="33" ht="15.0" customHeight="1">
      <c r="B33" s="6" t="str">
        <f>APPRENANTS!A14</f>
        <v>Proforma Institut</v>
      </c>
      <c r="C33" s="6" t="str">
        <f>APPRENANTS!B14</f>
        <v>GUILLOT Romain</v>
      </c>
      <c r="D33" s="6" t="str">
        <f>APPRENANTS!C14</f>
        <v>Sabri</v>
      </c>
      <c r="E33" s="6" t="str">
        <f>APPRENANTS!U14</f>
        <v>Analyse du besoin</v>
      </c>
      <c r="F33" s="14">
        <f>APPRENANTS!V14</f>
        <v>0.8888888889</v>
      </c>
      <c r="G33" s="6" t="str">
        <f>'WEDOF - EXAMEN FINAL'!M14</f>
        <v/>
      </c>
      <c r="H33" s="6" t="str">
        <f>APPRENANTS!W14</f>
        <v>A RELANCER : Analyse du besoin</v>
      </c>
      <c r="I33" s="6" t="str">
        <f>APPRENANTS!X14</f>
        <v/>
      </c>
      <c r="J33" s="6" t="str">
        <f>'PAIEMENTS &amp; COMMISSIONS'!L14</f>
        <v>En retard - a verser</v>
      </c>
      <c r="K33" s="10" t="str">
        <f>APPRENANTS!Y14</f>
        <v>Oui</v>
      </c>
    </row>
    <row r="34" ht="15.0" customHeight="1">
      <c r="B34" s="6" t="str">
        <f>APPRENANTS!A15</f>
        <v>Proforma Institut</v>
      </c>
      <c r="C34" s="6" t="str">
        <f>APPRENANTS!B15</f>
        <v>Eric Poggi</v>
      </c>
      <c r="D34" s="6" t="str">
        <f>APPRENANTS!C15</f>
        <v>Sabri</v>
      </c>
      <c r="E34" s="6" t="str">
        <f>APPRENANTS!U15</f>
        <v>Analyse du besoin</v>
      </c>
      <c r="F34" s="14">
        <f>APPRENANTS!V15</f>
        <v>0.8888888889</v>
      </c>
      <c r="G34" s="6" t="str">
        <f>'WEDOF - EXAMEN FINAL'!M15</f>
        <v>Convocation examen</v>
      </c>
      <c r="H34" s="6" t="str">
        <f>APPRENANTS!W15</f>
        <v>A RELANCER : Analyse du besoin</v>
      </c>
      <c r="I34" s="6" t="str">
        <f>APPRENANTS!X15</f>
        <v/>
      </c>
      <c r="J34" s="6" t="str">
        <f>'PAIEMENTS &amp; COMMISSIONS'!L15</f>
        <v>En retard - a verser</v>
      </c>
      <c r="K34" s="10" t="str">
        <f>APPRENANTS!Y15</f>
        <v>Oui</v>
      </c>
    </row>
    <row r="35" ht="15.0" customHeight="1">
      <c r="B35" s="6" t="str">
        <f>APPRENANTS!A16</f>
        <v>Proforma Institut</v>
      </c>
      <c r="C35" s="6" t="str">
        <f>APPRENANTS!B16</f>
        <v>SCOTTO D ANIELLO Lisa</v>
      </c>
      <c r="D35" s="6" t="str">
        <f>APPRENANTS!C16</f>
        <v>Sabri</v>
      </c>
      <c r="E35" s="6" t="str">
        <f>APPRENANTS!U16</f>
        <v>Analyse du besoin</v>
      </c>
      <c r="F35" s="14">
        <f>APPRENANTS!V16</f>
        <v>0.8888888889</v>
      </c>
      <c r="G35" s="6" t="str">
        <f>'WEDOF - EXAMEN FINAL'!M16</f>
        <v>Convocation examen</v>
      </c>
      <c r="H35" s="6" t="str">
        <f>APPRENANTS!W16</f>
        <v>A RELANCER : Analyse du besoin</v>
      </c>
      <c r="I35" s="6" t="str">
        <f>APPRENANTS!X16</f>
        <v/>
      </c>
      <c r="J35" s="6" t="str">
        <f>'PAIEMENTS &amp; COMMISSIONS'!L16</f>
        <v>En retard - a verser</v>
      </c>
      <c r="K35" s="10" t="str">
        <f>APPRENANTS!Y16</f>
        <v>Oui</v>
      </c>
    </row>
    <row r="36" ht="15.0" customHeight="1">
      <c r="B36" s="6" t="str">
        <f>APPRENANTS!A17</f>
        <v>Proforma Institut</v>
      </c>
      <c r="C36" s="6" t="str">
        <f>APPRENANTS!B17</f>
        <v>Alexandre Francaux</v>
      </c>
      <c r="D36" s="6" t="str">
        <f>APPRENANTS!C17</f>
        <v>Sabri</v>
      </c>
      <c r="E36" s="6" t="str">
        <f>APPRENANTS!U17</f>
        <v>Analyse du besoin, CV</v>
      </c>
      <c r="F36" s="14">
        <f>APPRENANTS!V17</f>
        <v>0.7777777778</v>
      </c>
      <c r="G36" s="6" t="str">
        <f>'WEDOF - EXAMEN FINAL'!M17</f>
        <v>CV, Convocation examen</v>
      </c>
      <c r="H36" s="6" t="str">
        <f>APPRENANTS!W17</f>
        <v>A RELANCER : Analyse du besoin, CV</v>
      </c>
      <c r="I36" s="6" t="str">
        <f>APPRENANTS!X17</f>
        <v/>
      </c>
      <c r="J36" s="6" t="str">
        <f>'PAIEMENTS &amp; COMMISSIONS'!L17</f>
        <v>En retard - a verser</v>
      </c>
      <c r="K36" s="10" t="str">
        <f>APPRENANTS!Y17</f>
        <v>Oui</v>
      </c>
    </row>
    <row r="37" ht="15.0" customHeight="1">
      <c r="B37" s="6" t="str">
        <f>APPRENANTS!A18</f>
        <v>Proforma Institut</v>
      </c>
      <c r="C37" s="6" t="str">
        <f>APPRENANTS!B18</f>
        <v>Jauffrey Arezki</v>
      </c>
      <c r="D37" s="6" t="str">
        <f>APPRENANTS!C18</f>
        <v>Sabri</v>
      </c>
      <c r="E37" s="6" t="str">
        <f>APPRENANTS!U18</f>
        <v>Analyse du besoin, CV</v>
      </c>
      <c r="F37" s="14">
        <f>APPRENANTS!V18</f>
        <v>0.7777777778</v>
      </c>
      <c r="G37" s="6" t="str">
        <f>'WEDOF - EXAMEN FINAL'!M18</f>
        <v>CV, Convocation examen</v>
      </c>
      <c r="H37" s="6" t="str">
        <f>APPRENANTS!W18</f>
        <v>A RELANCER : Analyse du besoin, CV</v>
      </c>
      <c r="I37" s="6" t="str">
        <f>APPRENANTS!X18</f>
        <v/>
      </c>
      <c r="J37" s="6" t="str">
        <f>'PAIEMENTS &amp; COMMISSIONS'!L18</f>
        <v>En retard - a verser</v>
      </c>
      <c r="K37" s="10" t="str">
        <f>APPRENANTS!Y18</f>
        <v>Oui</v>
      </c>
    </row>
    <row r="38" ht="15.0" customHeight="1">
      <c r="B38" s="6" t="str">
        <f>APPRENANTS!A19</f>
        <v>Proforma Institut</v>
      </c>
      <c r="C38" s="6" t="str">
        <f>APPRENANTS!B19</f>
        <v>NIEL Lucas</v>
      </c>
      <c r="D38" s="6" t="str">
        <f>APPRENANTS!C19</f>
        <v>Sabri</v>
      </c>
      <c r="E38" s="6" t="str">
        <f>APPRENANTS!U19</f>
        <v>Analyse du besoin</v>
      </c>
      <c r="F38" s="14">
        <f>APPRENANTS!V19</f>
        <v>0.8888888889</v>
      </c>
      <c r="G38" s="6" t="str">
        <f>'WEDOF - EXAMEN FINAL'!M19</f>
        <v>Convocation examen</v>
      </c>
      <c r="H38" s="6" t="str">
        <f>APPRENANTS!W19</f>
        <v>A RELANCER : Analyse du besoin</v>
      </c>
      <c r="I38" s="6" t="str">
        <f>APPRENANTS!X19</f>
        <v/>
      </c>
      <c r="J38" s="6" t="str">
        <f>'PAIEMENTS &amp; COMMISSIONS'!L19</f>
        <v>En retard - a verser</v>
      </c>
      <c r="K38" s="10" t="str">
        <f>APPRENANTS!Y19</f>
        <v>Oui</v>
      </c>
    </row>
    <row r="39" ht="15.0" customHeight="1">
      <c r="B39" s="6" t="str">
        <f>APPRENANTS!A20</f>
        <v>Proforma Institut</v>
      </c>
      <c r="C39" s="6" t="str">
        <f>APPRENANTS!B20</f>
        <v>GIACALONE Thomas</v>
      </c>
      <c r="D39" s="6" t="str">
        <f>APPRENANTS!C20</f>
        <v>Sabri</v>
      </c>
      <c r="E39" s="6" t="str">
        <f>APPRENANTS!U20</f>
        <v>Analyse du besoin</v>
      </c>
      <c r="F39" s="14">
        <f>APPRENANTS!V20</f>
        <v>0.8888888889</v>
      </c>
      <c r="G39" s="6" t="str">
        <f>'WEDOF - EXAMEN FINAL'!M20</f>
        <v>Convocation examen</v>
      </c>
      <c r="H39" s="6" t="str">
        <f>APPRENANTS!W20</f>
        <v>A RELANCER : Analyse du besoin</v>
      </c>
      <c r="I39" s="6" t="str">
        <f>APPRENANTS!X20</f>
        <v/>
      </c>
      <c r="J39" s="6" t="str">
        <f>'PAIEMENTS &amp; COMMISSIONS'!L20</f>
        <v>En retard - a verser</v>
      </c>
      <c r="K39" s="10" t="str">
        <f>APPRENANTS!Y20</f>
        <v>Oui</v>
      </c>
    </row>
    <row r="40" ht="15.0" customHeight="1">
      <c r="B40" s="6" t="str">
        <f>APPRENANTS!A21</f>
        <v>Proforma Institut</v>
      </c>
      <c r="C40" s="6" t="str">
        <f>APPRENANTS!B21</f>
        <v>Alain PEYRON-BENOIT</v>
      </c>
      <c r="D40" s="6" t="str">
        <f>APPRENANTS!C21</f>
        <v>Moh</v>
      </c>
      <c r="E40" s="6" t="str">
        <f>APPRENANTS!U21</f>
        <v>Analyse du besoin, CV</v>
      </c>
      <c r="F40" s="14">
        <f>APPRENANTS!V21</f>
        <v>0.7777777778</v>
      </c>
      <c r="G40" s="6" t="str">
        <f>'WEDOF - EXAMEN FINAL'!M21</f>
        <v>CV, CIN, 6 dossiers admin, Convocation examen</v>
      </c>
      <c r="H40" s="6" t="str">
        <f>APPRENANTS!W21</f>
        <v>A RELANCER : Analyse du besoin, CV</v>
      </c>
      <c r="I40" s="6" t="str">
        <f>APPRENANTS!X21</f>
        <v/>
      </c>
      <c r="J40" s="6" t="str">
        <f>'PAIEMENTS &amp; COMMISSIONS'!L21</f>
        <v>En retard - a verser</v>
      </c>
      <c r="K40" s="10" t="str">
        <f>APPRENANTS!Y21</f>
        <v>Oui</v>
      </c>
    </row>
    <row r="41" ht="15.0" customHeight="1">
      <c r="B41" s="6" t="str">
        <f>APPRENANTS!A22</f>
        <v>Proforma Institut</v>
      </c>
      <c r="C41" s="6" t="str">
        <f>APPRENANTS!B22</f>
        <v>TROUSSELLE Thomas</v>
      </c>
      <c r="D41" s="6" t="str">
        <f>APPRENANTS!C22</f>
        <v>Moh</v>
      </c>
      <c r="E41" s="6" t="str">
        <f>APPRENANTS!U22</f>
        <v>Analyse du besoin, CV</v>
      </c>
      <c r="F41" s="14">
        <f>APPRENANTS!V22</f>
        <v>0.7777777778</v>
      </c>
      <c r="G41" s="6" t="str">
        <f>'WEDOF - EXAMEN FINAL'!M22</f>
        <v>CV, CIN, 6 dossiers admin, Convocation examen</v>
      </c>
      <c r="H41" s="6" t="str">
        <f>APPRENANTS!W22</f>
        <v>A RELANCER : Analyse du besoin, CV</v>
      </c>
      <c r="I41" s="6" t="str">
        <f>APPRENANTS!X22</f>
        <v/>
      </c>
      <c r="J41" s="6" t="str">
        <f>'PAIEMENTS &amp; COMMISSIONS'!L22</f>
        <v>En retard - a verser</v>
      </c>
      <c r="K41" s="10" t="str">
        <f>APPRENANTS!Y22</f>
        <v>Oui</v>
      </c>
    </row>
    <row r="42" ht="15.0" customHeight="1">
      <c r="B42" s="6" t="str">
        <f>APPRENANTS!A23</f>
        <v>Proforma Institut</v>
      </c>
      <c r="C42" s="6" t="str">
        <f>APPRENANTS!B23</f>
        <v>PREVOST Florian</v>
      </c>
      <c r="D42" s="6" t="str">
        <f>APPRENANTS!C23</f>
        <v>Moh</v>
      </c>
      <c r="E42" s="6" t="str">
        <f>APPRENANTS!U23</f>
        <v>Analyse du besoin, CV</v>
      </c>
      <c r="F42" s="14">
        <f>APPRENANTS!V23</f>
        <v>0.7777777778</v>
      </c>
      <c r="G42" s="6" t="str">
        <f>'WEDOF - EXAMEN FINAL'!M23</f>
        <v>CV, CIN, 6 dossiers admin, Convocation examen</v>
      </c>
      <c r="H42" s="6" t="str">
        <f>APPRENANTS!W23</f>
        <v>A RELANCER : Analyse du besoin, CV</v>
      </c>
      <c r="I42" s="6" t="str">
        <f>APPRENANTS!X23</f>
        <v/>
      </c>
      <c r="J42" s="6" t="str">
        <f>'PAIEMENTS &amp; COMMISSIONS'!L23</f>
        <v>En retard - a verser</v>
      </c>
      <c r="K42" s="10" t="str">
        <f>APPRENANTS!Y23</f>
        <v>Oui</v>
      </c>
    </row>
    <row r="43" ht="15.0" customHeight="1">
      <c r="B43" s="6" t="str">
        <f>APPRENANTS!A24</f>
        <v>Proforma Institut</v>
      </c>
      <c r="C43" s="6" t="str">
        <f>APPRENANTS!B24</f>
        <v>DJIBILIAN Yoann</v>
      </c>
      <c r="D43" s="6" t="str">
        <f>APPRENANTS!C24</f>
        <v>Nedjma</v>
      </c>
      <c r="E43" s="6" t="str">
        <f>APPRENANTS!U24</f>
        <v>Analyse du besoin, CV</v>
      </c>
      <c r="F43" s="14">
        <f>APPRENANTS!V24</f>
        <v>0.7777777778</v>
      </c>
      <c r="G43" s="6" t="str">
        <f>'WEDOF - EXAMEN FINAL'!M24</f>
        <v>CV, CIN, 6 dossiers admin, Convocation examen</v>
      </c>
      <c r="H43" s="6" t="str">
        <f>APPRENANTS!W24</f>
        <v>A RELANCER : Analyse du besoin, CV</v>
      </c>
      <c r="I43" s="6" t="str">
        <f>APPRENANTS!X24</f>
        <v/>
      </c>
      <c r="J43" s="6" t="str">
        <f>'PAIEMENTS &amp; COMMISSIONS'!L24</f>
        <v>En retard - a verser</v>
      </c>
      <c r="K43" s="10" t="str">
        <f>APPRENANTS!Y24</f>
        <v>Oui</v>
      </c>
    </row>
    <row r="44" ht="15.0" customHeight="1">
      <c r="B44" s="6" t="str">
        <f>APPRENANTS!A25</f>
        <v>Proforma Institut</v>
      </c>
      <c r="C44" s="6" t="str">
        <f>APPRENANTS!B25</f>
        <v>ROUAISSI Moncef</v>
      </c>
      <c r="D44" s="6" t="str">
        <f>APPRENANTS!C25</f>
        <v>Nedjma</v>
      </c>
      <c r="E44" s="6" t="str">
        <f>APPRENANTS!U25</f>
        <v>Analyse du besoin, CV, Contrat, Convocation, Document de fin</v>
      </c>
      <c r="F44" s="14">
        <f>APPRENANTS!V25</f>
        <v>0.4444444444</v>
      </c>
      <c r="G44" s="6" t="str">
        <f>'WEDOF - EXAMEN FINAL'!M25</f>
        <v>CV, CIN, 6 dossiers admin, Convocation examen</v>
      </c>
      <c r="H44" s="6" t="str">
        <f>APPRENANTS!W25</f>
        <v>A RELANCER : Analyse du besoin, CV, Contrat, Convocation, Document de fin</v>
      </c>
      <c r="I44" s="6" t="str">
        <f>APPRENANTS!X25</f>
        <v/>
      </c>
      <c r="J44" s="6" t="str">
        <f>'PAIEMENTS &amp; COMMISSIONS'!L25</f>
        <v>En retard - a verser</v>
      </c>
      <c r="K44" s="10" t="str">
        <f>APPRENANTS!Y25</f>
        <v>Oui</v>
      </c>
    </row>
    <row r="45" ht="15.0" customHeight="1">
      <c r="B45" s="6" t="str">
        <f>APPRENANTS!A26</f>
        <v>Proforma Institut</v>
      </c>
      <c r="C45" s="6" t="str">
        <f>APPRENANTS!B26</f>
        <v>BOUTI Yazid</v>
      </c>
      <c r="D45" s="6" t="str">
        <f>APPRENANTS!C26</f>
        <v>Nedjma</v>
      </c>
      <c r="E45" s="6" t="str">
        <f>APPRENANTS!U26</f>
        <v>Analyse du besoin, CV, Contrat, Convocation, Document de fin</v>
      </c>
      <c r="F45" s="14">
        <f>APPRENANTS!V26</f>
        <v>0.4444444444</v>
      </c>
      <c r="G45" s="6" t="str">
        <f>'WEDOF - EXAMEN FINAL'!M26</f>
        <v>CV, CIN, 6 dossiers admin, Convocation examen</v>
      </c>
      <c r="H45" s="6" t="str">
        <f>APPRENANTS!W26</f>
        <v>A RELANCER : Analyse du besoin, CV, Contrat, Convocation, Document de fin</v>
      </c>
      <c r="I45" s="6" t="str">
        <f>APPRENANTS!X26</f>
        <v/>
      </c>
      <c r="J45" s="6" t="str">
        <f>'PAIEMENTS &amp; COMMISSIONS'!L26</f>
        <v>En retard - a verser</v>
      </c>
      <c r="K45" s="10" t="str">
        <f>APPRENANTS!Y26</f>
        <v>Oui</v>
      </c>
    </row>
    <row r="46" ht="15.0" customHeight="1">
      <c r="B46" s="6" t="str">
        <f>APPRENANTS!A27</f>
        <v>Proforma Institut</v>
      </c>
      <c r="C46" s="6" t="str">
        <f>APPRENANTS!B27</f>
        <v>KOUIDER Alexandre</v>
      </c>
      <c r="D46" s="6" t="str">
        <f>APPRENANTS!C27</f>
        <v>Sabri</v>
      </c>
      <c r="E46" s="6" t="str">
        <f>APPRENANTS!U27</f>
        <v>Analyse du besoin, Convocation, Document de fin</v>
      </c>
      <c r="F46" s="14">
        <f>APPRENANTS!V27</f>
        <v>0.6666666667</v>
      </c>
      <c r="G46" s="6" t="str">
        <f>'WEDOF - EXAMEN FINAL'!M27</f>
        <v>Convocation examen</v>
      </c>
      <c r="H46" s="6" t="str">
        <f>APPRENANTS!W27</f>
        <v>A RELANCER : Analyse du besoin, Convocation, Document de fin</v>
      </c>
      <c r="I46" s="6" t="str">
        <f>APPRENANTS!X27</f>
        <v/>
      </c>
      <c r="J46" s="6" t="str">
        <f>'PAIEMENTS &amp; COMMISSIONS'!L27</f>
        <v>En retard - a verser</v>
      </c>
      <c r="K46" s="10" t="str">
        <f>APPRENANTS!Y27</f>
        <v>Oui</v>
      </c>
    </row>
    <row r="47" ht="15.0" customHeight="1">
      <c r="B47" s="6" t="str">
        <f>APPRENANTS!A28</f>
        <v>Proforma Institut</v>
      </c>
      <c r="C47" s="6" t="str">
        <f>APPRENANTS!B28</f>
        <v>SOLAITIN Mathieu</v>
      </c>
      <c r="D47" s="6" t="str">
        <f>APPRENANTS!C28</f>
        <v>Sabri</v>
      </c>
      <c r="E47" s="6" t="str">
        <f>APPRENANTS!U28</f>
        <v>Analyse du besoin, CV, Convocation, Document de fin</v>
      </c>
      <c r="F47" s="14">
        <f>APPRENANTS!V28</f>
        <v>0.5555555556</v>
      </c>
      <c r="G47" s="6" t="str">
        <f>'WEDOF - EXAMEN FINAL'!M28</f>
        <v>CV, CIN, 6 dossiers admin, Convocation examen</v>
      </c>
      <c r="H47" s="6" t="str">
        <f>APPRENANTS!W28</f>
        <v>A RELANCER : Analyse du besoin, CV, Convocation, Document de fin</v>
      </c>
      <c r="I47" s="6" t="str">
        <f>APPRENANTS!X28</f>
        <v/>
      </c>
      <c r="J47" s="6" t="str">
        <f>'PAIEMENTS &amp; COMMISSIONS'!L28</f>
        <v>En retard - a verser</v>
      </c>
      <c r="K47" s="10" t="str">
        <f>APPRENANTS!Y28</f>
        <v>Oui</v>
      </c>
    </row>
    <row r="48" ht="15.0" customHeight="1">
      <c r="B48" s="6" t="str">
        <f>APPRENANTS!A29</f>
        <v>Proforma Institut</v>
      </c>
      <c r="C48" s="6" t="str">
        <f>APPRENANTS!B29</f>
        <v>Alexandre Schmerber</v>
      </c>
      <c r="D48" s="6" t="str">
        <f>APPRENANTS!C29</f>
        <v>Sabri</v>
      </c>
      <c r="E48" s="6" t="str">
        <f>APPRENANTS!U29</f>
        <v>Analyse du besoin, CV, Contrat, Convocation, Document de fin</v>
      </c>
      <c r="F48" s="14">
        <f>APPRENANTS!V29</f>
        <v>0.4444444444</v>
      </c>
      <c r="G48" s="6" t="str">
        <f>'WEDOF - EXAMEN FINAL'!M29</f>
        <v>CV, CIN, 6 dossiers admin, Convocation examen</v>
      </c>
      <c r="H48" s="6" t="str">
        <f>APPRENANTS!W29</f>
        <v>A RELANCER : Analyse du besoin, CV, Contrat, Convocation, Document de fin</v>
      </c>
      <c r="I48" s="6" t="str">
        <f>APPRENANTS!X29</f>
        <v/>
      </c>
      <c r="J48" s="6" t="str">
        <f>'PAIEMENTS &amp; COMMISSIONS'!L29</f>
        <v>En retard - a verser</v>
      </c>
      <c r="K48" s="10" t="str">
        <f>APPRENANTS!Y29</f>
        <v>Oui</v>
      </c>
    </row>
    <row r="49" ht="15.0" customHeight="1">
      <c r="B49" s="6" t="str">
        <f>APPRENANTS!A30</f>
        <v>Proforma Institut</v>
      </c>
      <c r="C49" s="6" t="str">
        <f>APPRENANTS!B30</f>
        <v>CHAFIL Amine</v>
      </c>
      <c r="D49" s="6" t="str">
        <f>APPRENANTS!C30</f>
        <v/>
      </c>
      <c r="E49" s="6" t="str">
        <f>APPRENANTS!U30</f>
        <v>Analyse du besoin, CV, Contrat, Convocation, Document de fin</v>
      </c>
      <c r="F49" s="14">
        <f>APPRENANTS!V30</f>
        <v>0.4444444444</v>
      </c>
      <c r="G49" s="6" t="str">
        <f>'WEDOF - EXAMEN FINAL'!M30</f>
        <v>CV, CIN, 6 dossiers admin, Convocation examen</v>
      </c>
      <c r="H49" s="6" t="str">
        <f>APPRENANTS!W30</f>
        <v>A RELANCER : Analyse du besoin, CV, Contrat, Convocation, Document de fin</v>
      </c>
      <c r="I49" s="6" t="str">
        <f>APPRENANTS!X30</f>
        <v/>
      </c>
      <c r="J49" s="6" t="str">
        <f>'PAIEMENTS &amp; COMMISSIONS'!L30</f>
        <v>En retard - a verser</v>
      </c>
      <c r="K49" s="10" t="str">
        <f>APPRENANTS!Y30</f>
        <v>Oui</v>
      </c>
    </row>
    <row r="50" ht="15.0" customHeight="1">
      <c r="B50" s="6" t="str">
        <f>APPRENANTS!A31</f>
        <v>Proforma Institut</v>
      </c>
      <c r="C50" s="6" t="str">
        <f>APPRENANTS!B31</f>
        <v>MARIOTTI Regis</v>
      </c>
      <c r="D50" s="6" t="str">
        <f>APPRENANTS!C31</f>
        <v>Sabri</v>
      </c>
      <c r="E50" s="6" t="str">
        <f>APPRENANTS!U31</f>
        <v>Analyse du besoin, CV, Contrat, Convocation, Document de fin</v>
      </c>
      <c r="F50" s="14">
        <f>APPRENANTS!V31</f>
        <v>0.4444444444</v>
      </c>
      <c r="G50" s="6" t="str">
        <f>'WEDOF - EXAMEN FINAL'!M31</f>
        <v>CV, CIN, 6 dossiers admin, Convocation examen</v>
      </c>
      <c r="H50" s="6" t="str">
        <f>APPRENANTS!W31</f>
        <v>A RELANCER : Analyse du besoin, CV, Contrat, Convocation, Document de fin</v>
      </c>
      <c r="I50" s="6" t="str">
        <f>APPRENANTS!X31</f>
        <v/>
      </c>
      <c r="J50" s="6" t="str">
        <f>'PAIEMENTS &amp; COMMISSIONS'!L31</f>
        <v>En retard - a verser</v>
      </c>
      <c r="K50" s="10" t="str">
        <f>APPRENANTS!Y31</f>
        <v>Oui</v>
      </c>
    </row>
    <row r="51" ht="15.0" customHeight="1">
      <c r="B51" s="6" t="str">
        <f>APPRENANTS!A32</f>
        <v>Proforma Institut</v>
      </c>
      <c r="C51" s="6" t="str">
        <f>APPRENANTS!B32</f>
        <v>GAUTHEROT Pascal</v>
      </c>
      <c r="D51" s="6" t="str">
        <f>APPRENANTS!C32</f>
        <v>GRAS</v>
      </c>
      <c r="E51" s="6" t="str">
        <f>APPRENANTS!U32</f>
        <v>Analyse du besoin, CV, Questionnaire/Test, Contrat, Convocation, Eval intermediaire, Eval finale, Questionnaire satisfaction, Document de fin</v>
      </c>
      <c r="F51" s="14">
        <f>APPRENANTS!V32</f>
        <v>0</v>
      </c>
      <c r="G51" s="6" t="str">
        <f>'WEDOF - EXAMEN FINAL'!M32</f>
        <v>CV, CIN, 6 dossiers admin, Convocation examen</v>
      </c>
      <c r="H51" s="6" t="str">
        <f>APPRENANTS!W32</f>
        <v>A RELANCER : Analyse du besoin, CV, Questionnaire/Test, Contrat, Convocation, Eval intermediaire, Eval finale, Questionnaire satisfaction, Document de fin</v>
      </c>
      <c r="I51" s="6" t="str">
        <f>APPRENANTS!X32</f>
        <v/>
      </c>
      <c r="J51" s="6" t="str">
        <f>'PAIEMENTS &amp; COMMISSIONS'!L32</f>
        <v>A venir</v>
      </c>
      <c r="K51" s="10" t="str">
        <f>APPRENANTS!Y32</f>
        <v>Oui</v>
      </c>
    </row>
    <row r="52" ht="15.0" customHeight="1">
      <c r="B52" s="6" t="str">
        <f>APPRENANTS!A33</f>
        <v>Proforma Institut</v>
      </c>
      <c r="C52" s="6" t="str">
        <f>APPRENANTS!B33</f>
        <v>GAUTHEROT Pascal</v>
      </c>
      <c r="D52" s="6" t="str">
        <f>APPRENANTS!C33</f>
        <v>GRAS</v>
      </c>
      <c r="E52" s="6" t="str">
        <f>APPRENANTS!U33</f>
        <v>Analyse du besoin, CV, Questionnaire/Test, Contrat, Convocation, Eval intermediaire, Eval finale, Questionnaire satisfaction, Document de fin</v>
      </c>
      <c r="F52" s="14">
        <f>APPRENANTS!V33</f>
        <v>0</v>
      </c>
      <c r="G52" s="6" t="str">
        <f>'WEDOF - EXAMEN FINAL'!M33</f>
        <v>CV, CIN, 6 dossiers admin, Convocation examen</v>
      </c>
      <c r="H52" s="6" t="str">
        <f>APPRENANTS!W33</f>
        <v>A RELANCER : Analyse du besoin, CV, Questionnaire/Test, Contrat, Convocation, Eval intermediaire, Eval finale, Questionnaire satisfaction, Document de fin</v>
      </c>
      <c r="I52" s="6" t="str">
        <f>APPRENANTS!X33</f>
        <v/>
      </c>
      <c r="J52" s="6" t="str">
        <f>'PAIEMENTS &amp; COMMISSIONS'!L33</f>
        <v>A venir</v>
      </c>
      <c r="K52" s="10" t="str">
        <f>APPRENANTS!Y33</f>
        <v>Oui</v>
      </c>
    </row>
    <row r="53" ht="15.0" customHeight="1">
      <c r="B53" s="6" t="str">
        <f>APPRENANTS!A34</f>
        <v>Proforma Institut</v>
      </c>
      <c r="C53" s="6" t="str">
        <f>APPRENANTS!B34</f>
        <v>GAUTHEROT Pascal</v>
      </c>
      <c r="D53" s="6" t="str">
        <f>APPRENANTS!C34</f>
        <v>GRAS</v>
      </c>
      <c r="E53" s="6" t="str">
        <f>APPRENANTS!U34</f>
        <v>Analyse du besoin, CV, Questionnaire/Test, Contrat, Convocation, Eval intermediaire, Eval finale, Questionnaire satisfaction, Document de fin</v>
      </c>
      <c r="F53" s="14">
        <f>APPRENANTS!V34</f>
        <v>0</v>
      </c>
      <c r="G53" s="6" t="str">
        <f>'WEDOF - EXAMEN FINAL'!M34</f>
        <v>CV, CIN, 6 dossiers admin, Convocation examen</v>
      </c>
      <c r="H53" s="6" t="str">
        <f>APPRENANTS!W34</f>
        <v>A RELANCER : Analyse du besoin, CV, Questionnaire/Test, Contrat, Convocation, Eval intermediaire, Eval finale, Questionnaire satisfaction, Document de fin</v>
      </c>
      <c r="I53" s="6" t="str">
        <f>APPRENANTS!X34</f>
        <v/>
      </c>
      <c r="J53" s="6" t="str">
        <f>'PAIEMENTS &amp; COMMISSIONS'!L34</f>
        <v>A venir</v>
      </c>
      <c r="K53" s="10" t="str">
        <f>APPRENANTS!Y34</f>
        <v>Oui</v>
      </c>
    </row>
    <row r="54" ht="15.0" customHeight="1">
      <c r="B54" s="6" t="str">
        <f>APPRENANTS!A35</f>
        <v>Proforma Institut</v>
      </c>
      <c r="C54" s="6" t="str">
        <f>APPRENANTS!B35</f>
        <v>VIRAPHONG Thuy</v>
      </c>
      <c r="D54" s="6" t="str">
        <f>APPRENANTS!C35</f>
        <v>jules</v>
      </c>
      <c r="E54" s="6" t="str">
        <f>APPRENANTS!U35</f>
        <v>Analyse du besoin, CV, Contrat, Convocation, Document de fin</v>
      </c>
      <c r="F54" s="14">
        <f>APPRENANTS!V35</f>
        <v>0.4444444444</v>
      </c>
      <c r="G54" s="6" t="str">
        <f>'WEDOF - EXAMEN FINAL'!M35</f>
        <v>CV, CIN, 6 dossiers admin, Convocation examen</v>
      </c>
      <c r="H54" s="6" t="str">
        <f>APPRENANTS!W35</f>
        <v>A RELANCER : Analyse du besoin, CV, Contrat, Convocation, Document de fin</v>
      </c>
      <c r="I54" s="6" t="str">
        <f>APPRENANTS!X35</f>
        <v/>
      </c>
      <c r="J54" s="6" t="str">
        <f>'PAIEMENTS &amp; COMMISSIONS'!L35</f>
        <v>A venir</v>
      </c>
      <c r="K54" s="10" t="str">
        <f>APPRENANTS!Y35</f>
        <v>Oui</v>
      </c>
    </row>
    <row r="55" ht="15.0" customHeight="1">
      <c r="B55" s="6" t="str">
        <f>APPRENANTS!A36</f>
        <v>Proforma Institut</v>
      </c>
      <c r="C55" s="6" t="str">
        <f>APPRENANTS!B36</f>
        <v>POGGI Eric</v>
      </c>
      <c r="D55" s="6" t="str">
        <f>APPRENANTS!C36</f>
        <v>Sabri</v>
      </c>
      <c r="E55" s="6" t="str">
        <f>APPRENANTS!U36</f>
        <v>Analyse du besoin, CV, Contrat, Convocation, Eval intermediaire, Eval finale, Questionnaire satisfaction, Document de fin</v>
      </c>
      <c r="F55" s="14">
        <f>APPRENANTS!V36</f>
        <v>0.1111111111</v>
      </c>
      <c r="G55" s="6" t="str">
        <f>'WEDOF - EXAMEN FINAL'!M36</f>
        <v>CV, CIN, 6 dossiers admin, Convocation examen</v>
      </c>
      <c r="H55" s="6" t="str">
        <f>APPRENANTS!W36</f>
        <v>A RELANCER : Analyse du besoin, CV, Contrat, Convocation, Eval intermediaire, Eval finale, Questionnaire satisfaction, Document de fin</v>
      </c>
      <c r="I55" s="6" t="str">
        <f>APPRENANTS!X36</f>
        <v/>
      </c>
      <c r="J55" s="6" t="str">
        <f>'PAIEMENTS &amp; COMMISSIONS'!L36</f>
        <v>A venir</v>
      </c>
      <c r="K55" s="10" t="str">
        <f>APPRENANTS!Y36</f>
        <v>Oui</v>
      </c>
    </row>
    <row r="56" ht="15.0" customHeight="1">
      <c r="B56" s="6" t="str">
        <f>APPRENANTS!A37</f>
        <v>Proforma Institut</v>
      </c>
      <c r="C56" s="6" t="str">
        <f>APPRENANTS!B37</f>
        <v>POGGI Eric</v>
      </c>
      <c r="D56" s="6" t="str">
        <f>APPRENANTS!C37</f>
        <v>Sabri</v>
      </c>
      <c r="E56" s="6" t="str">
        <f>APPRENANTS!U37</f>
        <v>Analyse du besoin, CV, Contrat, Convocation, Eval intermediaire, Eval finale, Questionnaire satisfaction, Document de fin</v>
      </c>
      <c r="F56" s="14">
        <f>APPRENANTS!V37</f>
        <v>0.1111111111</v>
      </c>
      <c r="G56" s="6" t="str">
        <f>'WEDOF - EXAMEN FINAL'!M37</f>
        <v>CV, CIN, 6 dossiers admin, Convocation examen</v>
      </c>
      <c r="H56" s="6" t="str">
        <f>APPRENANTS!W37</f>
        <v>A RELANCER : Analyse du besoin, CV, Contrat, Convocation, Eval intermediaire, Eval finale, Questionnaire satisfaction, Document de fin</v>
      </c>
      <c r="I56" s="6" t="str">
        <f>APPRENANTS!X37</f>
        <v/>
      </c>
      <c r="J56" s="6" t="str">
        <f>'PAIEMENTS &amp; COMMISSIONS'!L37</f>
        <v>A venir</v>
      </c>
      <c r="K56" s="10" t="str">
        <f>APPRENANTS!Y37</f>
        <v>Oui</v>
      </c>
    </row>
    <row r="57" ht="15.0" customHeight="1">
      <c r="B57" s="6" t="str">
        <f>APPRENANTS!A38</f>
        <v>Proforma Institut</v>
      </c>
      <c r="C57" s="6" t="str">
        <f>APPRENANTS!B38</f>
        <v>MENDY Jean</v>
      </c>
      <c r="D57" s="6" t="str">
        <f>APPRENANTS!C38</f>
        <v>jean</v>
      </c>
      <c r="E57" s="6" t="str">
        <f>APPRENANTS!U38</f>
        <v>Analyse du besoin, CV, Contrat, Convocation, Document de fin</v>
      </c>
      <c r="F57" s="14">
        <f>APPRENANTS!V38</f>
        <v>0.4444444444</v>
      </c>
      <c r="G57" s="6" t="str">
        <f>'WEDOF - EXAMEN FINAL'!M38</f>
        <v>CV, CIN, 6 dossiers admin, Convocation examen</v>
      </c>
      <c r="H57" s="6" t="str">
        <f>APPRENANTS!W38</f>
        <v>A RELANCER : Analyse du besoin, CV, Contrat, Convocation, Document de fin</v>
      </c>
      <c r="I57" s="6" t="str">
        <f>APPRENANTS!X38</f>
        <v/>
      </c>
      <c r="J57" s="6" t="str">
        <f>'PAIEMENTS &amp; COMMISSIONS'!L38</f>
        <v>A venir</v>
      </c>
      <c r="K57" s="10" t="str">
        <f>APPRENANTS!Y38</f>
        <v>Oui</v>
      </c>
    </row>
    <row r="58" ht="15.0" customHeight="1">
      <c r="B58" s="6" t="str">
        <f>APPRENANTS!A39</f>
        <v>Proforma Institut</v>
      </c>
      <c r="C58" s="6" t="str">
        <f>APPRENANTS!B39</f>
        <v>BOUASRIA Najwa</v>
      </c>
      <c r="D58" s="6" t="str">
        <f>APPRENANTS!C39</f>
        <v>frere karim</v>
      </c>
      <c r="E58" s="6" t="str">
        <f>APPRENANTS!U39</f>
        <v>Analyse du besoin, CV, Contrat, Convocation, Document de fin</v>
      </c>
      <c r="F58" s="14">
        <f>APPRENANTS!V39</f>
        <v>0.4444444444</v>
      </c>
      <c r="G58" s="6" t="str">
        <f>'WEDOF - EXAMEN FINAL'!M39</f>
        <v>CV, CIN, 6 dossiers admin, Convocation examen</v>
      </c>
      <c r="H58" s="6" t="str">
        <f>APPRENANTS!W39</f>
        <v>A RELANCER : Analyse du besoin, CV, Contrat, Convocation, Document de fin</v>
      </c>
      <c r="I58" s="6" t="str">
        <f>APPRENANTS!X39</f>
        <v/>
      </c>
      <c r="J58" s="6" t="str">
        <f>'PAIEMENTS &amp; COMMISSIONS'!L39</f>
        <v>A venir</v>
      </c>
      <c r="K58" s="10" t="str">
        <f>APPRENANTS!Y39</f>
        <v>Oui</v>
      </c>
    </row>
    <row r="59" ht="15.0" customHeight="1">
      <c r="B59" s="6" t="str">
        <f>APPRENANTS!A40</f>
        <v>Proforma Institut</v>
      </c>
      <c r="C59" s="6" t="str">
        <f>APPRENANTS!B40</f>
        <v>JAVAZZO Jerome</v>
      </c>
      <c r="D59" s="6" t="str">
        <f>APPRENANTS!C40</f>
        <v>hak</v>
      </c>
      <c r="E59" s="6" t="str">
        <f>APPRENANTS!U40</f>
        <v>Analyse du besoin, CV, Questionnaire/Test, Contrat, Convocation, Eval intermediaire, Eval finale, Questionnaire satisfaction, Document de fin</v>
      </c>
      <c r="F59" s="14">
        <f>APPRENANTS!V40</f>
        <v>0</v>
      </c>
      <c r="G59" s="6" t="str">
        <f>'WEDOF - EXAMEN FINAL'!M40</f>
        <v>CV, CIN, 6 dossiers admin, Convocation examen</v>
      </c>
      <c r="H59" s="6" t="str">
        <f>APPRENANTS!W40</f>
        <v>A RELANCER : Analyse du besoin, CV, Questionnaire/Test, Contrat, Convocation, Eval intermediaire, Eval finale, Questionnaire satisfaction, Document de fin</v>
      </c>
      <c r="I59" s="6" t="str">
        <f>APPRENANTS!X40</f>
        <v/>
      </c>
      <c r="J59" s="6" t="str">
        <f>'PAIEMENTS &amp; COMMISSIONS'!L40</f>
        <v>A venir</v>
      </c>
      <c r="K59" s="10" t="str">
        <f>APPRENANTS!Y40</f>
        <v>Oui</v>
      </c>
    </row>
    <row r="60" ht="15.0" customHeight="1">
      <c r="B60" s="6" t="str">
        <f>APPRENANTS!A41</f>
        <v>Proforma Institut</v>
      </c>
      <c r="C60" s="6" t="str">
        <f>APPRENANTS!B41</f>
        <v>JAVAZZO Jerome</v>
      </c>
      <c r="D60" s="6" t="str">
        <f>APPRENANTS!C41</f>
        <v>hak</v>
      </c>
      <c r="E60" s="6" t="str">
        <f>APPRENANTS!U41</f>
        <v>Analyse du besoin, CV, Questionnaire/Test, Contrat, Convocation, Eval intermediaire, Eval finale, Questionnaire satisfaction, Document de fin</v>
      </c>
      <c r="F60" s="14">
        <f>APPRENANTS!V41</f>
        <v>0</v>
      </c>
      <c r="G60" s="6" t="str">
        <f>'WEDOF - EXAMEN FINAL'!M41</f>
        <v>CV, CIN, 6 dossiers admin, Convocation examen</v>
      </c>
      <c r="H60" s="6" t="str">
        <f>APPRENANTS!W41</f>
        <v>A RELANCER : Analyse du besoin, CV, Questionnaire/Test, Contrat, Convocation, Eval intermediaire, Eval finale, Questionnaire satisfaction, Document de fin</v>
      </c>
      <c r="I60" s="6" t="str">
        <f>APPRENANTS!X41</f>
        <v/>
      </c>
      <c r="J60" s="6" t="str">
        <f>'PAIEMENTS &amp; COMMISSIONS'!L41</f>
        <v>A venir</v>
      </c>
      <c r="K60" s="10" t="str">
        <f>APPRENANTS!Y41</f>
        <v>Oui</v>
      </c>
    </row>
    <row r="61" ht="15.0" customHeight="1">
      <c r="B61" s="6" t="str">
        <f>APPRENANTS!A42</f>
        <v>Proforma Institut</v>
      </c>
      <c r="C61" s="6" t="str">
        <f>APPRENANTS!B42</f>
        <v>KECHIOUCHE Younes</v>
      </c>
      <c r="D61" s="6" t="str">
        <f>APPRENANTS!C42</f>
        <v>hak</v>
      </c>
      <c r="E61" s="6" t="str">
        <f>APPRENANTS!U42</f>
        <v>Analyse du besoin, CV, Questionnaire/Test, Contrat, Convocation, Document de fin</v>
      </c>
      <c r="F61" s="14">
        <f>APPRENANTS!V42</f>
        <v>0.3333333333</v>
      </c>
      <c r="G61" s="6" t="str">
        <f>'WEDOF - EXAMEN FINAL'!M42</f>
        <v>CV, CIN, 6 dossiers admin, Convocation examen</v>
      </c>
      <c r="H61" s="6" t="str">
        <f>APPRENANTS!W42</f>
        <v>A RELANCER : Analyse du besoin, CV, Questionnaire/Test, Contrat, Convocation, Document de fin</v>
      </c>
      <c r="I61" s="6" t="str">
        <f>APPRENANTS!X42</f>
        <v/>
      </c>
      <c r="J61" s="6" t="str">
        <f>'PAIEMENTS &amp; COMMISSIONS'!L42</f>
        <v>A venir</v>
      </c>
      <c r="K61" s="10" t="str">
        <f>APPRENANTS!Y42</f>
        <v>Oui</v>
      </c>
    </row>
    <row r="62" ht="15.0" customHeight="1">
      <c r="B62" s="6" t="str">
        <f>APPRENANTS!A43</f>
        <v>Proforma Institut</v>
      </c>
      <c r="C62" s="6" t="str">
        <f>APPRENANTS!B43</f>
        <v>LAHRAOUI Amir</v>
      </c>
      <c r="D62" s="6" t="str">
        <f>APPRENANTS!C43</f>
        <v>GRAS</v>
      </c>
      <c r="E62" s="6" t="str">
        <f>APPRENANTS!U43</f>
        <v>Analyse du besoin, CV, Questionnaire/Test, Contrat, Convocation, Eval intermediaire, Eval finale, Questionnaire satisfaction, Document de fin</v>
      </c>
      <c r="F62" s="14">
        <f>APPRENANTS!V43</f>
        <v>0</v>
      </c>
      <c r="G62" s="6" t="str">
        <f>'WEDOF - EXAMEN FINAL'!M43</f>
        <v>CV, CIN, 6 dossiers admin, Convocation examen</v>
      </c>
      <c r="H62" s="6" t="str">
        <f>APPRENANTS!W43</f>
        <v>A RELANCER : Analyse du besoin, CV, Questionnaire/Test, Contrat, Convocation, Eval intermediaire, Eval finale, Questionnaire satisfaction, Document de fin</v>
      </c>
      <c r="I62" s="6" t="str">
        <f>APPRENANTS!X43</f>
        <v/>
      </c>
      <c r="J62" s="6" t="str">
        <f>'PAIEMENTS &amp; COMMISSIONS'!L43</f>
        <v>A venir</v>
      </c>
      <c r="K62" s="10" t="str">
        <f>APPRENANTS!Y43</f>
        <v>Oui</v>
      </c>
    </row>
    <row r="63" ht="15.0" customHeight="1">
      <c r="B63" s="6" t="str">
        <f>APPRENANTS!A44</f>
        <v>Proforma Institut</v>
      </c>
      <c r="C63" s="6" t="str">
        <f>APPRENANTS!B44</f>
        <v>LAHRAOUI Amir</v>
      </c>
      <c r="D63" s="6" t="str">
        <f>APPRENANTS!C44</f>
        <v>GRAS</v>
      </c>
      <c r="E63" s="6" t="str">
        <f>APPRENANTS!U44</f>
        <v>Analyse du besoin, CV, Questionnaire/Test, Contrat, Convocation, Eval intermediaire, Eval finale, Questionnaire satisfaction, Document de fin</v>
      </c>
      <c r="F63" s="14">
        <f>APPRENANTS!V44</f>
        <v>0</v>
      </c>
      <c r="G63" s="6" t="str">
        <f>'WEDOF - EXAMEN FINAL'!M44</f>
        <v>CV, CIN, 6 dossiers admin, Convocation examen</v>
      </c>
      <c r="H63" s="6" t="str">
        <f>APPRENANTS!W44</f>
        <v>A RELANCER : Analyse du besoin, CV, Questionnaire/Test, Contrat, Convocation, Eval intermediaire, Eval finale, Questionnaire satisfaction, Document de fin</v>
      </c>
      <c r="I63" s="6" t="str">
        <f>APPRENANTS!X44</f>
        <v/>
      </c>
      <c r="J63" s="6" t="str">
        <f>'PAIEMENTS &amp; COMMISSIONS'!L44</f>
        <v>A venir</v>
      </c>
      <c r="K63" s="10" t="str">
        <f>APPRENANTS!Y44</f>
        <v>Oui</v>
      </c>
    </row>
    <row r="64" ht="15.0" customHeight="1">
      <c r="B64" s="6" t="str">
        <f>APPRENANTS!A45</f>
        <v>Proforma Institut</v>
      </c>
      <c r="C64" s="6" t="str">
        <f>APPRENANTS!B45</f>
        <v>LAHRAOUI Amir</v>
      </c>
      <c r="D64" s="6" t="str">
        <f>APPRENANTS!C45</f>
        <v>GRAS</v>
      </c>
      <c r="E64" s="6" t="str">
        <f>APPRENANTS!U45</f>
        <v>Analyse du besoin, CV, Questionnaire/Test, Contrat, Convocation, Eval intermediaire, Eval finale, Questionnaire satisfaction, Document de fin</v>
      </c>
      <c r="F64" s="14">
        <f>APPRENANTS!V45</f>
        <v>0</v>
      </c>
      <c r="G64" s="6" t="str">
        <f>'WEDOF - EXAMEN FINAL'!M45</f>
        <v>CV, CIN, 6 dossiers admin, Convocation examen</v>
      </c>
      <c r="H64" s="6" t="str">
        <f>APPRENANTS!W45</f>
        <v>A RELANCER : Analyse du besoin, CV, Questionnaire/Test, Contrat, Convocation, Eval intermediaire, Eval finale, Questionnaire satisfaction, Document de fin</v>
      </c>
      <c r="I64" s="6" t="str">
        <f>APPRENANTS!X45</f>
        <v/>
      </c>
      <c r="J64" s="6" t="str">
        <f>'PAIEMENTS &amp; COMMISSIONS'!L45</f>
        <v>A venir</v>
      </c>
      <c r="K64" s="10" t="str">
        <f>APPRENANTS!Y45</f>
        <v>Oui</v>
      </c>
    </row>
    <row r="65" ht="15.0" customHeight="1">
      <c r="B65" s="6" t="str">
        <f>APPRENANTS!A46</f>
        <v>Proforma Institut</v>
      </c>
      <c r="C65" s="6" t="str">
        <f>APPRENANTS!B46</f>
        <v>blot valerie</v>
      </c>
      <c r="D65" s="6" t="str">
        <f>APPRENANTS!C46</f>
        <v>Djody</v>
      </c>
      <c r="E65" s="6" t="str">
        <f>APPRENANTS!U46</f>
        <v>Analyse du besoin, CV, Questionnaire/Test, Contrat, Convocation, Eval intermediaire, Eval finale, Questionnaire satisfaction, Document de fin</v>
      </c>
      <c r="F65" s="14">
        <f>APPRENANTS!V46</f>
        <v>0</v>
      </c>
      <c r="G65" s="6" t="str">
        <f>'WEDOF - EXAMEN FINAL'!M46</f>
        <v>CV, CIN, 6 dossiers admin, Convocation examen</v>
      </c>
      <c r="H65" s="6" t="str">
        <f>APPRENANTS!W46</f>
        <v/>
      </c>
      <c r="I65" s="6" t="str">
        <f>APPRENANTS!X46</f>
        <v/>
      </c>
      <c r="J65" s="6" t="str">
        <f>'PAIEMENTS &amp; COMMISSIONS'!L46</f>
        <v>A venir</v>
      </c>
      <c r="K65" s="10" t="str">
        <f>APPRENANTS!Y46</f>
        <v>Oui</v>
      </c>
    </row>
    <row r="66" ht="15.0" customHeight="1">
      <c r="B66" s="6" t="str">
        <f>APPRENANTS!A47</f>
        <v>Proforma Institut</v>
      </c>
      <c r="C66" s="6" t="str">
        <f>APPRENANTS!B47</f>
        <v>CARRETTA Capucine</v>
      </c>
      <c r="D66" s="6" t="str">
        <f>APPRENANTS!C47</f>
        <v>jules</v>
      </c>
      <c r="E66" s="6" t="str">
        <f>APPRENANTS!U47</f>
        <v>Analyse du besoin, CV, Questionnaire/Test, Contrat, Convocation, Document de fin</v>
      </c>
      <c r="F66" s="14">
        <f>APPRENANTS!V47</f>
        <v>0.3333333333</v>
      </c>
      <c r="G66" s="6" t="str">
        <f>'WEDOF - EXAMEN FINAL'!M47</f>
        <v>CV, CIN, 6 dossiers admin, Convocation examen</v>
      </c>
      <c r="H66" s="6" t="str">
        <f>APPRENANTS!W47</f>
        <v>A RELANCER : Analyse du besoin, CV, Questionnaire/Test, Contrat, Convocation, Document de fin</v>
      </c>
      <c r="I66" s="6" t="str">
        <f>APPRENANTS!X47</f>
        <v/>
      </c>
      <c r="J66" s="6" t="str">
        <f>'PAIEMENTS &amp; COMMISSIONS'!L47</f>
        <v>A venir</v>
      </c>
      <c r="K66" s="10" t="str">
        <f>APPRENANTS!Y47</f>
        <v>Oui</v>
      </c>
    </row>
    <row r="67" ht="15.0" customHeight="1">
      <c r="B67" s="6" t="str">
        <f>APPRENANTS!A48</f>
        <v>Proforma Institut</v>
      </c>
      <c r="C67" s="6" t="str">
        <f>APPRENANTS!B48</f>
        <v>OUAHAB Yanis</v>
      </c>
      <c r="D67" s="6" t="str">
        <f>APPRENANTS!C48</f>
        <v>priscot</v>
      </c>
      <c r="E67" s="6" t="str">
        <f>APPRENANTS!U48</f>
        <v>Analyse du besoin, CV, Questionnaire/Test, Contrat, Convocation, Eval intermediaire, Eval finale, Questionnaire satisfaction, Document de fin</v>
      </c>
      <c r="F67" s="14">
        <f>APPRENANTS!V48</f>
        <v>0</v>
      </c>
      <c r="G67" s="6" t="str">
        <f>'WEDOF - EXAMEN FINAL'!M48</f>
        <v>CV, CIN, 6 dossiers admin, Convocation examen</v>
      </c>
      <c r="H67" s="6" t="str">
        <f>APPRENANTS!W48</f>
        <v>A RELANCER : Analyse du besoin, CV, Questionnaire/Test, Contrat, Convocation, Eval intermediaire, Eval finale, Questionnaire satisfaction, Document de fin</v>
      </c>
      <c r="I67" s="6" t="str">
        <f>APPRENANTS!X48</f>
        <v/>
      </c>
      <c r="J67" s="6" t="str">
        <f>'PAIEMENTS &amp; COMMISSIONS'!L48</f>
        <v>A venir</v>
      </c>
      <c r="K67" s="10" t="str">
        <f>APPRENANTS!Y48</f>
        <v>Oui</v>
      </c>
    </row>
    <row r="68" ht="15.0" customHeight="1">
      <c r="B68" s="6" t="str">
        <f>APPRENANTS!A49</f>
        <v>Proforma Institut</v>
      </c>
      <c r="C68" s="6" t="str">
        <f>APPRENANTS!B49</f>
        <v>OUAHAB Yanis</v>
      </c>
      <c r="D68" s="6" t="str">
        <f>APPRENANTS!C49</f>
        <v>priscot</v>
      </c>
      <c r="E68" s="6" t="str">
        <f>APPRENANTS!U49</f>
        <v>Analyse du besoin, CV, Questionnaire/Test, Contrat, Convocation, Eval intermediaire, Eval finale, Questionnaire satisfaction, Document de fin</v>
      </c>
      <c r="F68" s="14">
        <f>APPRENANTS!V49</f>
        <v>0</v>
      </c>
      <c r="G68" s="6" t="str">
        <f>'WEDOF - EXAMEN FINAL'!M49</f>
        <v>CV, CIN, 6 dossiers admin, Convocation examen</v>
      </c>
      <c r="H68" s="6" t="str">
        <f>APPRENANTS!W49</f>
        <v>A RELANCER : Analyse du besoin, CV, Questionnaire/Test, Contrat, Convocation, Eval intermediaire, Eval finale, Questionnaire satisfaction, Document de fin</v>
      </c>
      <c r="I68" s="6" t="str">
        <f>APPRENANTS!X49</f>
        <v/>
      </c>
      <c r="J68" s="6" t="str">
        <f>'PAIEMENTS &amp; COMMISSIONS'!L49</f>
        <v>A venir</v>
      </c>
      <c r="K68" s="10" t="str">
        <f>APPRENANTS!Y49</f>
        <v>Oui</v>
      </c>
    </row>
    <row r="69" ht="15.0" customHeight="1">
      <c r="B69" s="6" t="str">
        <f>APPRENANTS!A50</f>
        <v>Proforma Institut</v>
      </c>
      <c r="C69" s="6" t="str">
        <f>APPRENANTS!B50</f>
        <v>DJIBILIAN Yoann</v>
      </c>
      <c r="D69" s="6" t="str">
        <f>APPRENANTS!C50</f>
        <v>Nedjma</v>
      </c>
      <c r="E69" s="6" t="str">
        <f>APPRENANTS!U50</f>
        <v>Analyse du besoin, CV, Questionnaire/Test, Contrat, Convocation, Eval intermediaire, Eval finale, Questionnaire satisfaction, Document de fin</v>
      </c>
      <c r="F69" s="14">
        <f>APPRENANTS!V50</f>
        <v>0</v>
      </c>
      <c r="G69" s="6" t="str">
        <f>'WEDOF - EXAMEN FINAL'!M50</f>
        <v>CV, CIN, 6 dossiers admin, Convocation examen</v>
      </c>
      <c r="H69" s="6" t="str">
        <f>APPRENANTS!W50</f>
        <v>A RELANCER : Analyse du besoin, CV, Questionnaire/Test, Contrat, Convocation, Eval intermediaire, Eval finale, Questionnaire satisfaction, Document de fin</v>
      </c>
      <c r="I69" s="6" t="str">
        <f>APPRENANTS!X50</f>
        <v/>
      </c>
      <c r="J69" s="6" t="str">
        <f>'PAIEMENTS &amp; COMMISSIONS'!L50</f>
        <v>A venir</v>
      </c>
      <c r="K69" s="10" t="str">
        <f>APPRENANTS!Y50</f>
        <v>Oui</v>
      </c>
    </row>
    <row r="70" ht="15.0" customHeight="1">
      <c r="B70" s="6" t="str">
        <f>APPRENANTS!A51</f>
        <v>Proforma Institut</v>
      </c>
      <c r="C70" s="6" t="str">
        <f>APPRENANTS!B51</f>
        <v>DJIBILIAN Yoann</v>
      </c>
      <c r="D70" s="6" t="str">
        <f>APPRENANTS!C51</f>
        <v>Nedjma</v>
      </c>
      <c r="E70" s="6" t="str">
        <f>APPRENANTS!U51</f>
        <v>Analyse du besoin, CV, Questionnaire/Test, Contrat, Convocation, Eval intermediaire, Eval finale, Questionnaire satisfaction, Document de fin</v>
      </c>
      <c r="F70" s="14">
        <f>APPRENANTS!V51</f>
        <v>0</v>
      </c>
      <c r="G70" s="6" t="str">
        <f>'WEDOF - EXAMEN FINAL'!M51</f>
        <v>CV, CIN, 6 dossiers admin, Convocation examen</v>
      </c>
      <c r="H70" s="6" t="str">
        <f>APPRENANTS!W51</f>
        <v>A RELANCER : Analyse du besoin, CV, Questionnaire/Test, Contrat, Convocation, Eval intermediaire, Eval finale, Questionnaire satisfaction, Document de fin</v>
      </c>
      <c r="I70" s="6" t="str">
        <f>APPRENANTS!X51</f>
        <v/>
      </c>
      <c r="J70" s="6" t="str">
        <f>'PAIEMENTS &amp; COMMISSIONS'!L51</f>
        <v>A venir</v>
      </c>
      <c r="K70" s="10" t="str">
        <f>APPRENANTS!Y51</f>
        <v>Oui</v>
      </c>
    </row>
    <row r="71" ht="15.0" customHeight="1">
      <c r="B71" s="6" t="str">
        <f>APPRENANTS!A52</f>
        <v>Proforma Institut</v>
      </c>
      <c r="C71" s="6" t="str">
        <f>APPRENANTS!B52</f>
        <v>FRANGIAN Vazguen</v>
      </c>
      <c r="D71" s="6" t="str">
        <f>APPRENANTS!C52</f>
        <v>GRAS</v>
      </c>
      <c r="E71" s="6" t="str">
        <f>APPRENANTS!U52</f>
        <v>Analyse du besoin, CV, Questionnaire/Test, Contrat, Convocation, Eval intermediaire, Eval finale, Questionnaire satisfaction, Document de fin</v>
      </c>
      <c r="F71" s="14">
        <f>APPRENANTS!V52</f>
        <v>0</v>
      </c>
      <c r="G71" s="6" t="str">
        <f>'WEDOF - EXAMEN FINAL'!M52</f>
        <v>CV, CIN, 6 dossiers admin, Convocation examen</v>
      </c>
      <c r="H71" s="6" t="str">
        <f>APPRENANTS!W52</f>
        <v>A RELANCER : Analyse du besoin, CV, Questionnaire/Test, Contrat, Convocation, Eval intermediaire, Eval finale, Questionnaire satisfaction, Document de fin</v>
      </c>
      <c r="I71" s="6" t="str">
        <f>APPRENANTS!X52</f>
        <v/>
      </c>
      <c r="J71" s="6" t="str">
        <f>'PAIEMENTS &amp; COMMISSIONS'!L52</f>
        <v>A venir</v>
      </c>
      <c r="K71" s="10" t="str">
        <f>APPRENANTS!Y52</f>
        <v>Oui</v>
      </c>
    </row>
    <row r="72" ht="15.0" customHeight="1">
      <c r="B72" s="6" t="str">
        <f>APPRENANTS!A53</f>
        <v>Proforma Institut</v>
      </c>
      <c r="C72" s="6" t="str">
        <f>APPRENANTS!B53</f>
        <v>FRANGIAN Vazguen</v>
      </c>
      <c r="D72" s="6" t="str">
        <f>APPRENANTS!C53</f>
        <v>GRAS</v>
      </c>
      <c r="E72" s="6" t="str">
        <f>APPRENANTS!U53</f>
        <v>Analyse du besoin, CV, Questionnaire/Test, Contrat, Convocation, Eval intermediaire, Eval finale, Questionnaire satisfaction, Document de fin</v>
      </c>
      <c r="F72" s="14">
        <f>APPRENANTS!V53</f>
        <v>0</v>
      </c>
      <c r="G72" s="6" t="str">
        <f>'WEDOF - EXAMEN FINAL'!M53</f>
        <v>CV, CIN, 6 dossiers admin, Convocation examen</v>
      </c>
      <c r="H72" s="6" t="str">
        <f>APPRENANTS!W53</f>
        <v/>
      </c>
      <c r="I72" s="6" t="str">
        <f>APPRENANTS!X53</f>
        <v/>
      </c>
      <c r="J72" s="6" t="str">
        <f>'PAIEMENTS &amp; COMMISSIONS'!L53</f>
        <v>A venir</v>
      </c>
      <c r="K72" s="10" t="str">
        <f>APPRENANTS!Y53</f>
        <v>Oui</v>
      </c>
    </row>
    <row r="73" ht="15.0" customHeight="1">
      <c r="B73" s="6" t="str">
        <f>APPRENANTS!A54</f>
        <v>Proforma Institut</v>
      </c>
      <c r="C73" s="6" t="str">
        <f>APPRENANTS!B54</f>
        <v>FRANGIAN Vazguen</v>
      </c>
      <c r="D73" s="6" t="str">
        <f>APPRENANTS!C54</f>
        <v>GRAS</v>
      </c>
      <c r="E73" s="6" t="str">
        <f>APPRENANTS!U54</f>
        <v>Analyse du besoin, CV, Questionnaire/Test, Contrat, Convocation, Eval intermediaire, Eval finale, Questionnaire satisfaction, Document de fin</v>
      </c>
      <c r="F73" s="14">
        <f>APPRENANTS!V54</f>
        <v>0</v>
      </c>
      <c r="G73" s="6" t="str">
        <f>'WEDOF - EXAMEN FINAL'!M54</f>
        <v>CV, CIN, 6 dossiers admin, Convocation examen</v>
      </c>
      <c r="H73" s="6" t="str">
        <f>APPRENANTS!W54</f>
        <v/>
      </c>
      <c r="I73" s="6" t="str">
        <f>APPRENANTS!X54</f>
        <v/>
      </c>
      <c r="J73" s="6" t="str">
        <f>'PAIEMENTS &amp; COMMISSIONS'!L54</f>
        <v>A venir</v>
      </c>
      <c r="K73" s="10" t="str">
        <f>APPRENANTS!Y54</f>
        <v>Oui</v>
      </c>
    </row>
    <row r="74" ht="15.0" customHeight="1">
      <c r="B74" s="6" t="str">
        <f>APPRENANTS!A55</f>
        <v>Proforma Institut</v>
      </c>
      <c r="C74" s="6" t="str">
        <f>APPRENANTS!B55</f>
        <v>MELIKSETIAN Suren</v>
      </c>
      <c r="D74" s="6" t="str">
        <f>APPRENANTS!C55</f>
        <v>Sabri</v>
      </c>
      <c r="E74" s="6" t="str">
        <f>APPRENANTS!U55</f>
        <v>Analyse du besoin, CV, Questionnaire/Test, Contrat, Convocation, Document de fin</v>
      </c>
      <c r="F74" s="14">
        <f>APPRENANTS!V55</f>
        <v>0.3333333333</v>
      </c>
      <c r="G74" s="6" t="str">
        <f>'WEDOF - EXAMEN FINAL'!M55</f>
        <v>CV, CIN, 6 dossiers admin, Convocation examen</v>
      </c>
      <c r="H74" s="6" t="str">
        <f>APPRENANTS!W55</f>
        <v>A RELANCER : Analyse du besoin, CV, Questionnaire/Test, Contrat, Convocation, Document de fin</v>
      </c>
      <c r="I74" s="6" t="str">
        <f>APPRENANTS!X55</f>
        <v/>
      </c>
      <c r="J74" s="6" t="str">
        <f>'PAIEMENTS &amp; COMMISSIONS'!L55</f>
        <v>A venir</v>
      </c>
      <c r="K74" s="10" t="str">
        <f>APPRENANTS!Y55</f>
        <v>Oui</v>
      </c>
    </row>
    <row r="75" ht="15.0" customHeight="1">
      <c r="B75" s="6" t="str">
        <f>APPRENANTS!A56</f>
        <v>Proforma Institut</v>
      </c>
      <c r="C75" s="6" t="str">
        <f>APPRENANTS!B56</f>
        <v>ATAYAN Julieta</v>
      </c>
      <c r="D75" s="6" t="str">
        <f>APPRENANTS!C56</f>
        <v>Sabri</v>
      </c>
      <c r="E75" s="6" t="str">
        <f>APPRENANTS!U56</f>
        <v>Analyse du besoin, CV, Questionnaire/Test, Contrat, Convocation, Document de fin</v>
      </c>
      <c r="F75" s="14">
        <f>APPRENANTS!V56</f>
        <v>0.3333333333</v>
      </c>
      <c r="G75" s="6" t="str">
        <f>'WEDOF - EXAMEN FINAL'!M56</f>
        <v>CV, CIN, 6 dossiers admin, Convocation examen</v>
      </c>
      <c r="H75" s="6" t="str">
        <f>APPRENANTS!W56</f>
        <v>A RELANCER : Analyse du besoin, CV, Questionnaire/Test, Contrat, Convocation, Document de fin</v>
      </c>
      <c r="I75" s="6" t="str">
        <f>APPRENANTS!X56</f>
        <v/>
      </c>
      <c r="J75" s="6" t="str">
        <f>'PAIEMENTS &amp; COMMISSIONS'!L56</f>
        <v>A venir</v>
      </c>
      <c r="K75" s="10" t="str">
        <f>APPRENANTS!Y56</f>
        <v>Oui</v>
      </c>
    </row>
    <row r="76" ht="15.0" customHeight="1">
      <c r="B76" s="6" t="str">
        <f>APPRENANTS!A57</f>
        <v>Proforma Institut</v>
      </c>
      <c r="C76" s="6" t="str">
        <f>APPRENANTS!B57</f>
        <v>VARDANYAN Anait</v>
      </c>
      <c r="D76" s="6" t="str">
        <f>APPRENANTS!C57</f>
        <v>Sabri</v>
      </c>
      <c r="E76" s="6" t="str">
        <f>APPRENANTS!U57</f>
        <v>Analyse du besoin, CV, Questionnaire/Test, Contrat, Convocation, Document de fin</v>
      </c>
      <c r="F76" s="14">
        <f>APPRENANTS!V57</f>
        <v>0.3333333333</v>
      </c>
      <c r="G76" s="6" t="str">
        <f>'WEDOF - EXAMEN FINAL'!M57</f>
        <v>CV, CIN, 6 dossiers admin, Convocation examen</v>
      </c>
      <c r="H76" s="6" t="str">
        <f>APPRENANTS!W57</f>
        <v>A RELANCER : Analyse du besoin, CV, Questionnaire/Test, Contrat, Convocation, Document de fin</v>
      </c>
      <c r="I76" s="6" t="str">
        <f>APPRENANTS!X57</f>
        <v/>
      </c>
      <c r="J76" s="6" t="str">
        <f>'PAIEMENTS &amp; COMMISSIONS'!L57</f>
        <v>A venir</v>
      </c>
      <c r="K76" s="10" t="str">
        <f>APPRENANTS!Y57</f>
        <v>Oui</v>
      </c>
    </row>
    <row r="77" ht="15.0" customHeight="1">
      <c r="B77" s="6" t="str">
        <f>APPRENANTS!A58</f>
        <v>Proforma Institut</v>
      </c>
      <c r="C77" s="6" t="str">
        <f>APPRENANTS!B58</f>
        <v>EL BOUGHABI Adil</v>
      </c>
      <c r="D77" s="6" t="str">
        <f>APPRENANTS!C58</f>
        <v>MOH</v>
      </c>
      <c r="E77" s="6" t="str">
        <f>APPRENANTS!U58</f>
        <v>Analyse du besoin, CV, Questionnaire/Test, Contrat, Convocation, Eval intermediaire, Eval finale, Questionnaire satisfaction, Document de fin</v>
      </c>
      <c r="F77" s="14">
        <f>APPRENANTS!V58</f>
        <v>0</v>
      </c>
      <c r="G77" s="6" t="str">
        <f>'WEDOF - EXAMEN FINAL'!M58</f>
        <v>CV, CIN, 6 dossiers admin, Convocation examen</v>
      </c>
      <c r="H77" s="6" t="str">
        <f>APPRENANTS!W58</f>
        <v>A RELANCER : Analyse du besoin, CV, Questionnaire/Test, Contrat, Convocation, Eval intermediaire, Eval finale, Questionnaire satisfaction, Document de fin</v>
      </c>
      <c r="I77" s="6" t="str">
        <f>APPRENANTS!X58</f>
        <v/>
      </c>
      <c r="J77" s="6" t="str">
        <f>'PAIEMENTS &amp; COMMISSIONS'!L58</f>
        <v>A venir</v>
      </c>
      <c r="K77" s="10" t="str">
        <f>APPRENANTS!Y58</f>
        <v>Oui</v>
      </c>
    </row>
    <row r="78" ht="15.0" customHeight="1">
      <c r="B78" s="6" t="str">
        <f>APPRENANTS!A59</f>
        <v>Proforma Institut</v>
      </c>
      <c r="C78" s="6" t="str">
        <f>APPRENANTS!B59</f>
        <v>EL BOUGHABI Adil</v>
      </c>
      <c r="D78" s="6" t="str">
        <f>APPRENANTS!C59</f>
        <v>MOH</v>
      </c>
      <c r="E78" s="6" t="str">
        <f>APPRENANTS!U59</f>
        <v>Analyse du besoin, CV, Questionnaire/Test, Contrat, Convocation, Eval intermediaire, Eval finale, Questionnaire satisfaction, Document de fin</v>
      </c>
      <c r="F78" s="14">
        <f>APPRENANTS!V59</f>
        <v>0</v>
      </c>
      <c r="G78" s="6" t="str">
        <f>'WEDOF - EXAMEN FINAL'!M59</f>
        <v>CV, CIN, 6 dossiers admin, Convocation examen</v>
      </c>
      <c r="H78" s="6" t="str">
        <f>APPRENANTS!W59</f>
        <v/>
      </c>
      <c r="I78" s="6" t="str">
        <f>APPRENANTS!X59</f>
        <v/>
      </c>
      <c r="J78" s="6" t="str">
        <f>'PAIEMENTS &amp; COMMISSIONS'!L59</f>
        <v>A venir</v>
      </c>
      <c r="K78" s="10" t="str">
        <f>APPRENANTS!Y59</f>
        <v>Oui</v>
      </c>
    </row>
    <row r="79" ht="15.0" customHeight="1">
      <c r="B79" s="6" t="str">
        <f>APPRENANTS!A60</f>
        <v>Proforma Institut</v>
      </c>
      <c r="C79" s="6" t="str">
        <f>APPRENANTS!B60</f>
        <v>ALARCON Lucas</v>
      </c>
      <c r="D79" s="6" t="str">
        <f>APPRENANTS!C60</f>
        <v>MOH</v>
      </c>
      <c r="E79" s="6" t="str">
        <f>APPRENANTS!U60</f>
        <v>Analyse du besoin, CV, Questionnaire/Test, Contrat, Convocation, Eval intermediaire, Eval finale, Questionnaire satisfaction, Document de fin</v>
      </c>
      <c r="F79" s="14">
        <f>APPRENANTS!V60</f>
        <v>0</v>
      </c>
      <c r="G79" s="6" t="str">
        <f>'WEDOF - EXAMEN FINAL'!M60</f>
        <v>CV, CIN, 6 dossiers admin, Convocation examen</v>
      </c>
      <c r="H79" s="6" t="str">
        <f>APPRENANTS!W60</f>
        <v>A RELANCER : Analyse du besoin, CV, Questionnaire/Test, Contrat, Convocation, Eval intermediaire, Eval finale, Questionnaire satisfaction, Document de fin</v>
      </c>
      <c r="I79" s="6" t="str">
        <f>APPRENANTS!X60</f>
        <v/>
      </c>
      <c r="J79" s="6" t="str">
        <f>'PAIEMENTS &amp; COMMISSIONS'!L60</f>
        <v>A venir</v>
      </c>
      <c r="K79" s="10" t="str">
        <f>APPRENANTS!Y60</f>
        <v>Oui</v>
      </c>
    </row>
    <row r="80" ht="15.0" customHeight="1">
      <c r="B80" s="6" t="str">
        <f>APPRENANTS!A61</f>
        <v>Proforma Institut</v>
      </c>
      <c r="C80" s="6" t="str">
        <f>APPRENANTS!B61</f>
        <v>ALARCON Lucas</v>
      </c>
      <c r="D80" s="6" t="str">
        <f>APPRENANTS!C61</f>
        <v>MOH</v>
      </c>
      <c r="E80" s="6" t="str">
        <f>APPRENANTS!U61</f>
        <v>Analyse du besoin, CV, Questionnaire/Test, Contrat, Convocation, Eval intermediaire, Eval finale, Questionnaire satisfaction, Document de fin</v>
      </c>
      <c r="F80" s="14">
        <f>APPRENANTS!V61</f>
        <v>0</v>
      </c>
      <c r="G80" s="6" t="str">
        <f>'WEDOF - EXAMEN FINAL'!M61</f>
        <v>CV, CIN, 6 dossiers admin, Convocation examen</v>
      </c>
      <c r="H80" s="6" t="str">
        <f>APPRENANTS!W61</f>
        <v/>
      </c>
      <c r="I80" s="6" t="str">
        <f>APPRENANTS!X61</f>
        <v/>
      </c>
      <c r="J80" s="6" t="str">
        <f>'PAIEMENTS &amp; COMMISSIONS'!L61</f>
        <v>A venir</v>
      </c>
      <c r="K80" s="10" t="str">
        <f>APPRENANTS!Y61</f>
        <v>Oui</v>
      </c>
    </row>
    <row r="81" ht="15.0" customHeight="1">
      <c r="B81" s="6" t="str">
        <f>APPRENANTS!A62</f>
        <v>Proforma Institut</v>
      </c>
      <c r="C81" s="6" t="str">
        <f>APPRENANTS!B62</f>
        <v>ARGOUBI Karim</v>
      </c>
      <c r="D81" s="6" t="str">
        <f>APPRENANTS!C62</f>
        <v>Djody</v>
      </c>
      <c r="E81" s="6" t="str">
        <f>APPRENANTS!U62</f>
        <v>Analyse du besoin, CV, Questionnaire/Test, Contrat, Convocation, Eval intermediaire, Eval finale, Questionnaire satisfaction, Document de fin</v>
      </c>
      <c r="F81" s="14">
        <f>APPRENANTS!V62</f>
        <v>0</v>
      </c>
      <c r="G81" s="6" t="str">
        <f>'WEDOF - EXAMEN FINAL'!M62</f>
        <v>CV, CIN, 6 dossiers admin, Convocation examen</v>
      </c>
      <c r="H81" s="6" t="str">
        <f>APPRENANTS!W62</f>
        <v>A RELANCER : Analyse du besoin, CV, Questionnaire/Test, Contrat, Convocation, Eval intermediaire, Eval finale, Questionnaire satisfaction, Document de fin</v>
      </c>
      <c r="I81" s="6" t="str">
        <f>APPRENANTS!X62</f>
        <v/>
      </c>
      <c r="J81" s="6" t="str">
        <f>'PAIEMENTS &amp; COMMISSIONS'!L62</f>
        <v>A venir</v>
      </c>
      <c r="K81" s="10" t="str">
        <f>APPRENANTS!Y62</f>
        <v>Oui</v>
      </c>
    </row>
    <row r="82" ht="15.0" customHeight="1">
      <c r="B82" s="6" t="str">
        <f>APPRENANTS!A63</f>
        <v>Proforma Institut</v>
      </c>
      <c r="C82" s="6" t="str">
        <f>APPRENANTS!B63</f>
        <v>ARGOUBI Karim</v>
      </c>
      <c r="D82" s="6" t="str">
        <f>APPRENANTS!C63</f>
        <v>Djody</v>
      </c>
      <c r="E82" s="6" t="str">
        <f>APPRENANTS!U63</f>
        <v>Analyse du besoin, CV, Questionnaire/Test, Contrat, Convocation, Eval intermediaire, Eval finale, Questionnaire satisfaction, Document de fin</v>
      </c>
      <c r="F82" s="14">
        <f>APPRENANTS!V63</f>
        <v>0</v>
      </c>
      <c r="G82" s="6" t="str">
        <f>'WEDOF - EXAMEN FINAL'!M63</f>
        <v>CV, CIN, 6 dossiers admin, Convocation examen</v>
      </c>
      <c r="H82" s="6" t="str">
        <f>APPRENANTS!W63</f>
        <v/>
      </c>
      <c r="I82" s="6" t="str">
        <f>APPRENANTS!X63</f>
        <v/>
      </c>
      <c r="J82" s="6" t="str">
        <f>'PAIEMENTS &amp; COMMISSIONS'!L63</f>
        <v>A venir</v>
      </c>
      <c r="K82" s="10" t="str">
        <f>APPRENANTS!Y63</f>
        <v>Oui</v>
      </c>
    </row>
    <row r="83" ht="15.0" customHeight="1">
      <c r="B83" s="6" t="str">
        <f>APPRENANTS!A64</f>
        <v>Proforma Institut</v>
      </c>
      <c r="C83" s="6" t="str">
        <f>APPRENANTS!B64</f>
        <v>ARGOUBI Karim</v>
      </c>
      <c r="D83" s="6" t="str">
        <f>APPRENANTS!C64</f>
        <v>Djody</v>
      </c>
      <c r="E83" s="6" t="str">
        <f>APPRENANTS!U64</f>
        <v>Analyse du besoin, CV, Questionnaire/Test, Contrat, Convocation, Eval intermediaire, Eval finale, Questionnaire satisfaction, Document de fin</v>
      </c>
      <c r="F83" s="14">
        <f>APPRENANTS!V64</f>
        <v>0</v>
      </c>
      <c r="G83" s="6" t="str">
        <f>'WEDOF - EXAMEN FINAL'!M64</f>
        <v>CV, CIN, 6 dossiers admin, Convocation examen</v>
      </c>
      <c r="H83" s="6" t="str">
        <f>APPRENANTS!W64</f>
        <v/>
      </c>
      <c r="I83" s="6" t="str">
        <f>APPRENANTS!X64</f>
        <v/>
      </c>
      <c r="J83" s="6" t="str">
        <f>'PAIEMENTS &amp; COMMISSIONS'!L64</f>
        <v>A venir</v>
      </c>
      <c r="K83" s="10" t="str">
        <f>APPRENANTS!Y64</f>
        <v>Oui</v>
      </c>
    </row>
    <row r="84" ht="15.0" customHeight="1">
      <c r="B84" s="6" t="str">
        <f>APPRENANTS!A65</f>
        <v>Proforma Institut</v>
      </c>
      <c r="C84" s="6" t="str">
        <f>APPRENANTS!B65</f>
        <v>DERKAOUI Sandra</v>
      </c>
      <c r="D84" s="6" t="str">
        <f>APPRENANTS!C65</f>
        <v>MOH</v>
      </c>
      <c r="E84" s="6" t="str">
        <f>APPRENANTS!U65</f>
        <v>Analyse du besoin, CV, Questionnaire/Test, Contrat, Convocation, Eval intermediaire, Eval finale, Questionnaire satisfaction, Document de fin</v>
      </c>
      <c r="F84" s="14">
        <f>APPRENANTS!V65</f>
        <v>0</v>
      </c>
      <c r="G84" s="6" t="str">
        <f>'WEDOF - EXAMEN FINAL'!M65</f>
        <v>CV, CIN, 6 dossiers admin, Convocation examen</v>
      </c>
      <c r="H84" s="6" t="str">
        <f>APPRENANTS!W65</f>
        <v/>
      </c>
      <c r="I84" s="6" t="str">
        <f>APPRENANTS!X65</f>
        <v/>
      </c>
      <c r="J84" s="6" t="str">
        <f>'PAIEMENTS &amp; COMMISSIONS'!L65</f>
        <v>A venir</v>
      </c>
      <c r="K84" s="10" t="str">
        <f>APPRENANTS!Y65</f>
        <v>Oui</v>
      </c>
    </row>
    <row r="85" ht="15.0" customHeight="1">
      <c r="B85" s="6" t="str">
        <f>APPRENANTS!A66</f>
        <v>Proforma Institut</v>
      </c>
      <c r="C85" s="6" t="str">
        <f>APPRENANTS!B66</f>
        <v>DERKAOUI Sandra</v>
      </c>
      <c r="D85" s="6" t="str">
        <f>APPRENANTS!C66</f>
        <v>MOH</v>
      </c>
      <c r="E85" s="6" t="str">
        <f>APPRENANTS!U66</f>
        <v>Analyse du besoin, CV, Questionnaire/Test, Contrat, Convocation, Eval intermediaire, Eval finale, Questionnaire satisfaction, Document de fin</v>
      </c>
      <c r="F85" s="14">
        <f>APPRENANTS!V66</f>
        <v>0</v>
      </c>
      <c r="G85" s="6" t="str">
        <f>'WEDOF - EXAMEN FINAL'!M66</f>
        <v>CV, CIN, 6 dossiers admin, Convocation examen</v>
      </c>
      <c r="H85" s="6" t="str">
        <f>APPRENANTS!W66</f>
        <v/>
      </c>
      <c r="I85" s="6" t="str">
        <f>APPRENANTS!X66</f>
        <v/>
      </c>
      <c r="J85" s="6" t="str">
        <f>'PAIEMENTS &amp; COMMISSIONS'!L66</f>
        <v>A venir</v>
      </c>
      <c r="K85" s="10" t="str">
        <f>APPRENANTS!Y66</f>
        <v>Oui</v>
      </c>
    </row>
    <row r="86" ht="15.0" customHeight="1">
      <c r="B86" s="6" t="str">
        <f>APPRENANTS!A67</f>
        <v>Proforma Institut</v>
      </c>
      <c r="C86" s="6" t="str">
        <f>APPRENANTS!B67</f>
        <v>MASELE MUKONGA Ann</v>
      </c>
      <c r="D86" s="6" t="str">
        <f>APPRENANTS!C67</f>
        <v>MOH</v>
      </c>
      <c r="E86" s="6" t="str">
        <f>APPRENANTS!U67</f>
        <v>Analyse du besoin, CV, Questionnaire/Test, Contrat, Convocation, Eval intermediaire, Eval finale, Questionnaire satisfaction, Document de fin</v>
      </c>
      <c r="F86" s="14">
        <f>APPRENANTS!V67</f>
        <v>0</v>
      </c>
      <c r="G86" s="6" t="str">
        <f>'WEDOF - EXAMEN FINAL'!M67</f>
        <v>CV, CIN, 6 dossiers admin, Convocation examen</v>
      </c>
      <c r="H86" s="6" t="str">
        <f>APPRENANTS!W67</f>
        <v/>
      </c>
      <c r="I86" s="6" t="str">
        <f>APPRENANTS!X67</f>
        <v/>
      </c>
      <c r="J86" s="6" t="str">
        <f>'PAIEMENTS &amp; COMMISSIONS'!L67</f>
        <v>A venir</v>
      </c>
      <c r="K86" s="10" t="str">
        <f>APPRENANTS!Y67</f>
        <v>Oui</v>
      </c>
    </row>
    <row r="87" ht="15.0" customHeight="1">
      <c r="B87" s="6" t="str">
        <f>APPRENANTS!A68</f>
        <v>Proforma Institut</v>
      </c>
      <c r="C87" s="6" t="str">
        <f>APPRENANTS!B68</f>
        <v>MASELE MUKONGA Ann</v>
      </c>
      <c r="D87" s="6" t="str">
        <f>APPRENANTS!C68</f>
        <v>MOH</v>
      </c>
      <c r="E87" s="6" t="str">
        <f>APPRENANTS!U68</f>
        <v>Analyse du besoin, CV, Questionnaire/Test, Contrat, Convocation, Eval intermediaire, Eval finale, Questionnaire satisfaction, Document de fin</v>
      </c>
      <c r="F87" s="14">
        <f>APPRENANTS!V68</f>
        <v>0</v>
      </c>
      <c r="G87" s="6" t="str">
        <f>'WEDOF - EXAMEN FINAL'!M68</f>
        <v>CV, CIN, 6 dossiers admin, Convocation examen</v>
      </c>
      <c r="H87" s="6" t="str">
        <f>APPRENANTS!W68</f>
        <v/>
      </c>
      <c r="I87" s="6" t="str">
        <f>APPRENANTS!X68</f>
        <v/>
      </c>
      <c r="J87" s="6" t="str">
        <f>'PAIEMENTS &amp; COMMISSIONS'!L68</f>
        <v>A venir</v>
      </c>
      <c r="K87" s="10" t="str">
        <f>APPRENANTS!Y68</f>
        <v>Oui</v>
      </c>
    </row>
    <row r="88" ht="15.0" customHeight="1">
      <c r="B88" s="6" t="str">
        <f>APPRENANTS!A69</f>
        <v>Proforma Institut</v>
      </c>
      <c r="C88" s="6" t="str">
        <f>APPRENANTS!B69</f>
        <v>MASELE MUKONGA Ann</v>
      </c>
      <c r="D88" s="6" t="str">
        <f>APPRENANTS!C69</f>
        <v>MOH</v>
      </c>
      <c r="E88" s="6" t="str">
        <f>APPRENANTS!U69</f>
        <v>Analyse du besoin, CV, Questionnaire/Test, Contrat, Convocation, Eval intermediaire, Eval finale, Questionnaire satisfaction, Document de fin</v>
      </c>
      <c r="F88" s="14">
        <f>APPRENANTS!V69</f>
        <v>0</v>
      </c>
      <c r="G88" s="6" t="str">
        <f>'WEDOF - EXAMEN FINAL'!M69</f>
        <v>CV, CIN, 6 dossiers admin, Convocation examen</v>
      </c>
      <c r="H88" s="6" t="str">
        <f>APPRENANTS!W69</f>
        <v/>
      </c>
      <c r="I88" s="6" t="str">
        <f>APPRENANTS!X69</f>
        <v/>
      </c>
      <c r="J88" s="6" t="str">
        <f>'PAIEMENTS &amp; COMMISSIONS'!L69</f>
        <v>A venir</v>
      </c>
      <c r="K88" s="10" t="str">
        <f>APPRENANTS!Y69</f>
        <v>Oui</v>
      </c>
    </row>
    <row r="89" ht="15.0" customHeight="1">
      <c r="B89" s="6" t="str">
        <f>APPRENANTS!A70</f>
        <v>Proforma Institut</v>
      </c>
      <c r="C89" s="6" t="str">
        <f>APPRENANTS!B70</f>
        <v>SANCHEZ Fabrice</v>
      </c>
      <c r="D89" s="6" t="str">
        <f>APPRENANTS!C70</f>
        <v>MOH</v>
      </c>
      <c r="E89" s="6" t="str">
        <f>APPRENANTS!U70</f>
        <v>Analyse du besoin, CV, Questionnaire/Test, Contrat, Convocation, Eval intermediaire, Eval finale, Questionnaire satisfaction, Document de fin</v>
      </c>
      <c r="F89" s="14">
        <f>APPRENANTS!V70</f>
        <v>0</v>
      </c>
      <c r="G89" s="6" t="str">
        <f>'WEDOF - EXAMEN FINAL'!M70</f>
        <v>CV, CIN, 6 dossiers admin, Convocation examen</v>
      </c>
      <c r="H89" s="6" t="str">
        <f>APPRENANTS!W70</f>
        <v/>
      </c>
      <c r="I89" s="6" t="str">
        <f>APPRENANTS!X70</f>
        <v/>
      </c>
      <c r="J89" s="6" t="str">
        <f>'PAIEMENTS &amp; COMMISSIONS'!L70</f>
        <v>A venir</v>
      </c>
      <c r="K89" s="10" t="str">
        <f>APPRENANTS!Y70</f>
        <v>Oui</v>
      </c>
    </row>
    <row r="90" ht="15.0" customHeight="1">
      <c r="B90" s="6" t="str">
        <f>APPRENANTS!A71</f>
        <v>Proforma Institut</v>
      </c>
      <c r="C90" s="6" t="str">
        <f>APPRENANTS!B71</f>
        <v>SANCHEZ Fabrice</v>
      </c>
      <c r="D90" s="6" t="str">
        <f>APPRENANTS!C71</f>
        <v>MOH</v>
      </c>
      <c r="E90" s="6" t="str">
        <f>APPRENANTS!U71</f>
        <v>Analyse du besoin, CV, Questionnaire/Test, Contrat, Convocation, Eval intermediaire, Eval finale, Questionnaire satisfaction, Document de fin</v>
      </c>
      <c r="F90" s="14">
        <f>APPRENANTS!V71</f>
        <v>0</v>
      </c>
      <c r="G90" s="6" t="str">
        <f>'WEDOF - EXAMEN FINAL'!M71</f>
        <v>CV, CIN, 6 dossiers admin, Convocation examen</v>
      </c>
      <c r="H90" s="6" t="str">
        <f>APPRENANTS!W71</f>
        <v/>
      </c>
      <c r="I90" s="6" t="str">
        <f>APPRENANTS!X71</f>
        <v/>
      </c>
      <c r="J90" s="6" t="str">
        <f>'PAIEMENTS &amp; COMMISSIONS'!L71</f>
        <v>A venir</v>
      </c>
      <c r="K90" s="10" t="str">
        <f>APPRENANTS!Y71</f>
        <v>Oui</v>
      </c>
    </row>
    <row r="91" ht="15.0" customHeight="1">
      <c r="B91" s="6" t="str">
        <f>APPRENANTS!A72</f>
        <v>Proforma Institut</v>
      </c>
      <c r="C91" s="6" t="str">
        <f>APPRENANTS!B72</f>
        <v>SANCHEZ Fabrice</v>
      </c>
      <c r="D91" s="6" t="str">
        <f>APPRENANTS!C72</f>
        <v>MOH</v>
      </c>
      <c r="E91" s="6" t="str">
        <f>APPRENANTS!U72</f>
        <v>Analyse du besoin, CV, Questionnaire/Test, Contrat, Convocation, Eval intermediaire, Eval finale, Questionnaire satisfaction, Document de fin</v>
      </c>
      <c r="F91" s="14">
        <f>APPRENANTS!V72</f>
        <v>0</v>
      </c>
      <c r="G91" s="6" t="str">
        <f>'WEDOF - EXAMEN FINAL'!M72</f>
        <v>CV, CIN, 6 dossiers admin, Convocation examen</v>
      </c>
      <c r="H91" s="6" t="str">
        <f>APPRENANTS!W72</f>
        <v/>
      </c>
      <c r="I91" s="6" t="str">
        <f>APPRENANTS!X72</f>
        <v/>
      </c>
      <c r="J91" s="6" t="str">
        <f>'PAIEMENTS &amp; COMMISSIONS'!L72</f>
        <v>A venir</v>
      </c>
      <c r="K91" s="10" t="str">
        <f>APPRENANTS!Y72</f>
        <v>Oui</v>
      </c>
    </row>
    <row r="92" ht="15.0" customHeight="1">
      <c r="B92" s="6" t="str">
        <f>APPRENANTS!A73</f>
        <v>Proforma Institut</v>
      </c>
      <c r="C92" s="6" t="str">
        <f>APPRENANTS!B73</f>
        <v>LAZREG Redha</v>
      </c>
      <c r="D92" s="6" t="str">
        <f>APPRENANTS!C73</f>
        <v>hak</v>
      </c>
      <c r="E92" s="6" t="str">
        <f>APPRENANTS!U73</f>
        <v>Analyse du besoin, CV, Questionnaire/Test, Contrat, Convocation, Eval intermediaire, Eval finale, Questionnaire satisfaction, Document de fin</v>
      </c>
      <c r="F92" s="14">
        <f>APPRENANTS!V73</f>
        <v>0</v>
      </c>
      <c r="G92" s="6" t="str">
        <f>'WEDOF - EXAMEN FINAL'!M73</f>
        <v>CV, CIN, 6 dossiers admin, Convocation examen</v>
      </c>
      <c r="H92" s="6" t="str">
        <f>APPRENANTS!W73</f>
        <v/>
      </c>
      <c r="I92" s="6" t="str">
        <f>APPRENANTS!X73</f>
        <v/>
      </c>
      <c r="J92" s="6" t="str">
        <f>'PAIEMENTS &amp; COMMISSIONS'!L73</f>
        <v>Inscription non confirmee</v>
      </c>
      <c r="K92" s="10" t="str">
        <f>APPRENANTS!Y73</f>
        <v>Non</v>
      </c>
    </row>
    <row r="93" ht="15.0" customHeight="1">
      <c r="B93" s="6" t="str">
        <f>APPRENANTS!A74</f>
        <v>Proforma Institut</v>
      </c>
      <c r="C93" s="6" t="str">
        <f>APPRENANTS!B74</f>
        <v>LAZREG Redha</v>
      </c>
      <c r="D93" s="6" t="str">
        <f>APPRENANTS!C74</f>
        <v>hak</v>
      </c>
      <c r="E93" s="6" t="str">
        <f>APPRENANTS!U74</f>
        <v>Analyse du besoin, CV, Questionnaire/Test, Contrat, Convocation, Eval intermediaire, Eval finale, Questionnaire satisfaction, Document de fin</v>
      </c>
      <c r="F93" s="14">
        <f>APPRENANTS!V74</f>
        <v>0</v>
      </c>
      <c r="G93" s="6" t="str">
        <f>'WEDOF - EXAMEN FINAL'!M74</f>
        <v>CV, CIN, 6 dossiers admin, Convocation examen</v>
      </c>
      <c r="H93" s="6" t="str">
        <f>APPRENANTS!W74</f>
        <v/>
      </c>
      <c r="I93" s="6" t="str">
        <f>APPRENANTS!X74</f>
        <v/>
      </c>
      <c r="J93" s="6" t="str">
        <f>'PAIEMENTS &amp; COMMISSIONS'!L74</f>
        <v>Inscription non confirmee</v>
      </c>
      <c r="K93" s="10" t="str">
        <f>APPRENANTS!Y74</f>
        <v>Non</v>
      </c>
    </row>
    <row r="94" ht="15.0" customHeight="1">
      <c r="B94" s="6" t="str">
        <f>APPRENANTS!A75</f>
        <v>Proforma Institut</v>
      </c>
      <c r="C94" s="6" t="str">
        <f>APPRENANTS!B75</f>
        <v>LAZREG Redha</v>
      </c>
      <c r="D94" s="6" t="str">
        <f>APPRENANTS!C75</f>
        <v>hak</v>
      </c>
      <c r="E94" s="6" t="str">
        <f>APPRENANTS!U75</f>
        <v>Analyse du besoin, CV, Questionnaire/Test, Contrat, Convocation, Eval intermediaire, Eval finale, Questionnaire satisfaction, Document de fin</v>
      </c>
      <c r="F94" s="14">
        <f>APPRENANTS!V75</f>
        <v>0</v>
      </c>
      <c r="G94" s="6" t="str">
        <f>'WEDOF - EXAMEN FINAL'!M75</f>
        <v>CV, CIN, 6 dossiers admin, Convocation examen</v>
      </c>
      <c r="H94" s="6" t="str">
        <f>APPRENANTS!W75</f>
        <v/>
      </c>
      <c r="I94" s="6" t="str">
        <f>APPRENANTS!X75</f>
        <v/>
      </c>
      <c r="J94" s="6" t="str">
        <f>'PAIEMENTS &amp; COMMISSIONS'!L75</f>
        <v>Inscription non confirmee</v>
      </c>
      <c r="K94" s="10" t="str">
        <f>APPRENANTS!Y75</f>
        <v>Non</v>
      </c>
    </row>
    <row r="95" ht="15.0" customHeight="1">
      <c r="B95" s="6" t="str">
        <f>APPRENANTS!A76</f>
        <v>Proforma Institut</v>
      </c>
      <c r="C95" s="6" t="str">
        <f>APPRENANTS!B76</f>
        <v>CATENNE Guillaume</v>
      </c>
      <c r="D95" s="6" t="str">
        <f>APPRENANTS!C76</f>
        <v>hak</v>
      </c>
      <c r="E95" s="6" t="str">
        <f>APPRENANTS!U76</f>
        <v>Analyse du besoin, CV, Questionnaire/Test, Contrat, Convocation, Eval intermediaire, Eval finale, Questionnaire satisfaction, Document de fin</v>
      </c>
      <c r="F95" s="14">
        <f>APPRENANTS!V76</f>
        <v>0</v>
      </c>
      <c r="G95" s="6" t="str">
        <f>'WEDOF - EXAMEN FINAL'!M76</f>
        <v>CV, CIN, 6 dossiers admin, Convocation examen</v>
      </c>
      <c r="H95" s="6" t="str">
        <f>APPRENANTS!W76</f>
        <v/>
      </c>
      <c r="I95" s="6" t="str">
        <f>APPRENANTS!X76</f>
        <v/>
      </c>
      <c r="J95" s="6" t="str">
        <f>'PAIEMENTS &amp; COMMISSIONS'!L76</f>
        <v>A venir</v>
      </c>
      <c r="K95" s="10" t="str">
        <f>APPRENANTS!Y76</f>
        <v>Oui</v>
      </c>
    </row>
    <row r="96" ht="15.0" customHeight="1">
      <c r="B96" s="6" t="str">
        <f>APPRENANTS!A77</f>
        <v>Proforma Institut</v>
      </c>
      <c r="C96" s="6" t="str">
        <f>APPRENANTS!B77</f>
        <v>CATENNE Guillaume</v>
      </c>
      <c r="D96" s="6" t="str">
        <f>APPRENANTS!C77</f>
        <v>hak</v>
      </c>
      <c r="E96" s="6" t="str">
        <f>APPRENANTS!U77</f>
        <v>Analyse du besoin, CV, Questionnaire/Test, Contrat, Convocation, Eval intermediaire, Eval finale, Questionnaire satisfaction, Document de fin</v>
      </c>
      <c r="F96" s="14">
        <f>APPRENANTS!V77</f>
        <v>0</v>
      </c>
      <c r="G96" s="6" t="str">
        <f>'WEDOF - EXAMEN FINAL'!M77</f>
        <v>CV, CIN, 6 dossiers admin, Convocation examen</v>
      </c>
      <c r="H96" s="6" t="str">
        <f>APPRENANTS!W77</f>
        <v/>
      </c>
      <c r="I96" s="6" t="str">
        <f>APPRENANTS!X77</f>
        <v/>
      </c>
      <c r="J96" s="6" t="str">
        <f>'PAIEMENTS &amp; COMMISSIONS'!L77</f>
        <v>A venir</v>
      </c>
      <c r="K96" s="10" t="str">
        <f>APPRENANTS!Y77</f>
        <v>Oui</v>
      </c>
    </row>
    <row r="97" ht="15.0" customHeight="1">
      <c r="B97" s="6" t="str">
        <f>APPRENANTS!A78</f>
        <v>Proforma Institut</v>
      </c>
      <c r="C97" s="6" t="str">
        <f>APPRENANTS!B78</f>
        <v>CATENNE Guillaume</v>
      </c>
      <c r="D97" s="6" t="str">
        <f>APPRENANTS!C78</f>
        <v>hak</v>
      </c>
      <c r="E97" s="6" t="str">
        <f>APPRENANTS!U78</f>
        <v>Analyse du besoin, CV, Questionnaire/Test, Contrat, Convocation, Eval intermediaire, Eval finale, Questionnaire satisfaction, Document de fin</v>
      </c>
      <c r="F97" s="14">
        <f>APPRENANTS!V78</f>
        <v>0</v>
      </c>
      <c r="G97" s="6" t="str">
        <f>'WEDOF - EXAMEN FINAL'!M78</f>
        <v>CV, CIN, 6 dossiers admin, Convocation examen</v>
      </c>
      <c r="H97" s="6" t="str">
        <f>APPRENANTS!W78</f>
        <v/>
      </c>
      <c r="I97" s="6" t="str">
        <f>APPRENANTS!X78</f>
        <v/>
      </c>
      <c r="J97" s="6" t="str">
        <f>'PAIEMENTS &amp; COMMISSIONS'!L78</f>
        <v>A venir</v>
      </c>
      <c r="K97" s="10" t="str">
        <f>APPRENANTS!Y78</f>
        <v>Oui</v>
      </c>
    </row>
    <row r="98" ht="15.0" customHeight="1">
      <c r="B98" s="6" t="str">
        <f>APPRENANTS!A79</f>
        <v>Proforma Institut</v>
      </c>
      <c r="C98" s="6" t="str">
        <f>APPRENANTS!B79</f>
        <v>BENSAID Lahouari</v>
      </c>
      <c r="D98" s="6" t="str">
        <f>APPRENANTS!C79</f>
        <v>hak</v>
      </c>
      <c r="E98" s="6" t="str">
        <f>APPRENANTS!U79</f>
        <v>Analyse du besoin, CV, Questionnaire/Test, Contrat, Convocation, Eval intermediaire, Eval finale, Questionnaire satisfaction, Document de fin</v>
      </c>
      <c r="F98" s="14">
        <f>APPRENANTS!V79</f>
        <v>0</v>
      </c>
      <c r="G98" s="6" t="str">
        <f>'WEDOF - EXAMEN FINAL'!M79</f>
        <v>CV, CIN, 6 dossiers admin, Convocation examen</v>
      </c>
      <c r="H98" s="6" t="str">
        <f>APPRENANTS!W79</f>
        <v/>
      </c>
      <c r="I98" s="6" t="str">
        <f>APPRENANTS!X79</f>
        <v/>
      </c>
      <c r="J98" s="6" t="str">
        <f>'PAIEMENTS &amp; COMMISSIONS'!L79</f>
        <v>A venir</v>
      </c>
      <c r="K98" s="10" t="str">
        <f>APPRENANTS!Y79</f>
        <v>Oui</v>
      </c>
    </row>
    <row r="99" ht="15.0" customHeight="1">
      <c r="B99" s="6" t="str">
        <f>APPRENANTS!A80</f>
        <v>Proforma Institut</v>
      </c>
      <c r="C99" s="6" t="str">
        <f>APPRENANTS!B80</f>
        <v>BENSAID Lahouari</v>
      </c>
      <c r="D99" s="6" t="str">
        <f>APPRENANTS!C80</f>
        <v>hak</v>
      </c>
      <c r="E99" s="6" t="str">
        <f>APPRENANTS!U80</f>
        <v>Analyse du besoin, CV, Questionnaire/Test, Contrat, Convocation, Eval intermediaire, Eval finale, Questionnaire satisfaction, Document de fin</v>
      </c>
      <c r="F99" s="14">
        <f>APPRENANTS!V80</f>
        <v>0</v>
      </c>
      <c r="G99" s="6" t="str">
        <f>'WEDOF - EXAMEN FINAL'!M80</f>
        <v>CV, CIN, 6 dossiers admin, Convocation examen</v>
      </c>
      <c r="H99" s="6" t="str">
        <f>APPRENANTS!W80</f>
        <v/>
      </c>
      <c r="I99" s="6" t="str">
        <f>APPRENANTS!X80</f>
        <v/>
      </c>
      <c r="J99" s="6" t="str">
        <f>'PAIEMENTS &amp; COMMISSIONS'!L80</f>
        <v>A venir</v>
      </c>
      <c r="K99" s="10" t="str">
        <f>APPRENANTS!Y80</f>
        <v>Oui</v>
      </c>
    </row>
    <row r="100" ht="15.0" customHeight="1">
      <c r="B100" s="6" t="str">
        <f>APPRENANTS!A81</f>
        <v>Proforma Institut</v>
      </c>
      <c r="C100" s="6" t="str">
        <f>APPRENANTS!B81</f>
        <v>BENSAID Lahouari</v>
      </c>
      <c r="D100" s="6" t="str">
        <f>APPRENANTS!C81</f>
        <v>hak</v>
      </c>
      <c r="E100" s="6" t="str">
        <f>APPRENANTS!U81</f>
        <v>Analyse du besoin, CV, Questionnaire/Test, Contrat, Convocation, Eval intermediaire, Eval finale, Questionnaire satisfaction, Document de fin</v>
      </c>
      <c r="F100" s="14">
        <f>APPRENANTS!V81</f>
        <v>0</v>
      </c>
      <c r="G100" s="6" t="str">
        <f>'WEDOF - EXAMEN FINAL'!M81</f>
        <v>CV, CIN, 6 dossiers admin, Convocation examen</v>
      </c>
      <c r="H100" s="6" t="str">
        <f>APPRENANTS!W81</f>
        <v/>
      </c>
      <c r="I100" s="6" t="str">
        <f>APPRENANTS!X81</f>
        <v/>
      </c>
      <c r="J100" s="6" t="str">
        <f>'PAIEMENTS &amp; COMMISSIONS'!L81</f>
        <v>A venir</v>
      </c>
      <c r="K100" s="10" t="str">
        <f>APPRENANTS!Y81</f>
        <v>Oui</v>
      </c>
    </row>
    <row r="101" ht="15.0" customHeight="1">
      <c r="B101" s="6" t="str">
        <f>APPRENANTS!A82</f>
        <v>Proskills Institut</v>
      </c>
      <c r="C101" s="6" t="str">
        <f>APPRENANTS!B82</f>
        <v>LAUZERO Jose</v>
      </c>
      <c r="D101" s="6" t="str">
        <f>APPRENANTS!C82</f>
        <v>Jules</v>
      </c>
      <c r="E101" s="6" t="str">
        <f>APPRENANTS!U82</f>
        <v>Analyse du besoin, CV, Questionnaire/Test, Contrat, Convocation, Eval intermediaire, Eval finale, Questionnaire satisfaction, Document de fin</v>
      </c>
      <c r="F101" s="14">
        <f>APPRENANTS!V82</f>
        <v>0</v>
      </c>
      <c r="G101" s="6" t="str">
        <f>'WEDOF - EXAMEN FINAL'!M82</f>
        <v>CV, 6 dossiers admin, Convocation examen</v>
      </c>
      <c r="H101" s="6" t="str">
        <f>APPRENANTS!W82</f>
        <v>A RELANCER : Analyse du besoin, CV, Questionnaire/Test, Contrat, Convocation, Eval intermediaire, Eval finale, Questionnaire satisfaction, Document de fin</v>
      </c>
      <c r="I101" s="6" t="str">
        <f>APPRENANTS!X82</f>
        <v/>
      </c>
      <c r="J101" s="6" t="str">
        <f>'PAIEMENTS &amp; COMMISSIONS'!L82</f>
        <v>En retard - a verser</v>
      </c>
      <c r="K101" s="10" t="str">
        <f>APPRENANTS!Y82</f>
        <v>Oui</v>
      </c>
    </row>
    <row r="102" ht="15.0" customHeight="1">
      <c r="B102" s="6" t="str">
        <f>APPRENANTS!A83</f>
        <v>Proskills Institut</v>
      </c>
      <c r="C102" s="6" t="str">
        <f>APPRENANTS!B83</f>
        <v>LAUZERO Jose</v>
      </c>
      <c r="D102" s="6" t="str">
        <f>APPRENANTS!C83</f>
        <v>Jules</v>
      </c>
      <c r="E102" s="6" t="str">
        <f>APPRENANTS!U83</f>
        <v>Analyse du besoin, CV, Questionnaire/Test, Convocation, Eval intermediaire, Eval finale, Questionnaire satisfaction, Document de fin</v>
      </c>
      <c r="F102" s="14">
        <f>APPRENANTS!V83</f>
        <v>0.1111111111</v>
      </c>
      <c r="G102" s="6" t="str">
        <f>'WEDOF - EXAMEN FINAL'!M83</f>
        <v>CV, 6 dossiers admin, Convocation examen</v>
      </c>
      <c r="H102" s="6" t="str">
        <f>APPRENANTS!W83</f>
        <v>A RELANCER : Analyse du besoin, CV, Questionnaire/Test, Convocation, Eval intermediaire, Eval finale, Questionnaire satisfaction, Document de fin</v>
      </c>
      <c r="I102" s="6" t="str">
        <f>APPRENANTS!X83</f>
        <v/>
      </c>
      <c r="J102" s="6" t="str">
        <f>'PAIEMENTS &amp; COMMISSIONS'!L83</f>
        <v>En retard - a verser</v>
      </c>
      <c r="K102" s="10" t="str">
        <f>APPRENANTS!Y83</f>
        <v>Oui</v>
      </c>
    </row>
    <row r="103" ht="15.0" customHeight="1">
      <c r="B103" s="6" t="str">
        <f>APPRENANTS!A84</f>
        <v>Proskills Institut</v>
      </c>
      <c r="C103" s="6" t="str">
        <f>APPRENANTS!B84</f>
        <v>LAUZERO Jose</v>
      </c>
      <c r="D103" s="6" t="str">
        <f>APPRENANTS!C84</f>
        <v>Jules</v>
      </c>
      <c r="E103" s="6" t="str">
        <f>APPRENANTS!U84</f>
        <v>Analyse du besoin, CV, Questionnaire/Test, Convocation, Eval intermediaire, Eval finale, Questionnaire satisfaction, Document de fin</v>
      </c>
      <c r="F103" s="14">
        <f>APPRENANTS!V84</f>
        <v>0.1111111111</v>
      </c>
      <c r="G103" s="6" t="str">
        <f>'WEDOF - EXAMEN FINAL'!M84</f>
        <v>CV, 6 dossiers admin, Convocation examen</v>
      </c>
      <c r="H103" s="6" t="str">
        <f>APPRENANTS!W84</f>
        <v>A RELANCER : Analyse du besoin, CV, Questionnaire/Test, Convocation, Eval intermediaire, Eval finale, Questionnaire satisfaction, Document de fin</v>
      </c>
      <c r="I103" s="6" t="str">
        <f>APPRENANTS!X84</f>
        <v/>
      </c>
      <c r="J103" s="6" t="str">
        <f>'PAIEMENTS &amp; COMMISSIONS'!L84</f>
        <v>En retard - a verser</v>
      </c>
      <c r="K103" s="10" t="str">
        <f>APPRENANTS!Y84</f>
        <v>Oui</v>
      </c>
    </row>
    <row r="104" ht="15.0" customHeight="1">
      <c r="B104" s="6" t="str">
        <f>APPRENANTS!A85</f>
        <v>Proskills Institut</v>
      </c>
      <c r="C104" s="6" t="str">
        <f>APPRENANTS!B85</f>
        <v>MIEGE Cesar</v>
      </c>
      <c r="D104" s="6" t="str">
        <f>APPRENANTS!C85</f>
        <v>Jules</v>
      </c>
      <c r="E104" s="6" t="str">
        <f>APPRENANTS!U85</f>
        <v>Analyse du besoin, CV, Questionnaire/Test, Convocation, Eval intermediaire, Eval finale, Questionnaire satisfaction, Document de fin</v>
      </c>
      <c r="F104" s="14">
        <f>APPRENANTS!V85</f>
        <v>0.1111111111</v>
      </c>
      <c r="G104" s="6" t="str">
        <f>'WEDOF - EXAMEN FINAL'!M85</f>
        <v>CV, 6 dossiers admin, Convocation examen</v>
      </c>
      <c r="H104" s="6" t="str">
        <f>APPRENANTS!W85</f>
        <v>A RELANCER : Analyse du besoin, CV, Questionnaire/Test, Convocation, Eval intermediaire, Eval finale, Questionnaire satisfaction, Document de fin</v>
      </c>
      <c r="I104" s="6" t="str">
        <f>APPRENANTS!X85</f>
        <v/>
      </c>
      <c r="J104" s="6" t="str">
        <f>'PAIEMENTS &amp; COMMISSIONS'!L85</f>
        <v>En retard - a verser</v>
      </c>
      <c r="K104" s="10" t="str">
        <f>APPRENANTS!Y85</f>
        <v>Oui</v>
      </c>
    </row>
    <row r="105" ht="15.0" customHeight="1">
      <c r="B105" s="6" t="str">
        <f>APPRENANTS!A86</f>
        <v>Proskills Institut</v>
      </c>
      <c r="C105" s="6" t="str">
        <f>APPRENANTS!B86</f>
        <v>MIEGE Cesar</v>
      </c>
      <c r="D105" s="6" t="str">
        <f>APPRENANTS!C86</f>
        <v>Jules</v>
      </c>
      <c r="E105" s="6" t="str">
        <f>APPRENANTS!U86</f>
        <v>Analyse du besoin, CV, Questionnaire/Test, Convocation, Eval intermediaire, Eval finale, Questionnaire satisfaction, Document de fin</v>
      </c>
      <c r="F105" s="14">
        <f>APPRENANTS!V86</f>
        <v>0.1111111111</v>
      </c>
      <c r="G105" s="6" t="str">
        <f>'WEDOF - EXAMEN FINAL'!M86</f>
        <v>CV, 6 dossiers admin, Convocation examen</v>
      </c>
      <c r="H105" s="6" t="str">
        <f>APPRENANTS!W86</f>
        <v>A RELANCER : Analyse du besoin, CV, Questionnaire/Test, Convocation, Eval intermediaire, Eval finale, Questionnaire satisfaction, Document de fin</v>
      </c>
      <c r="I105" s="6" t="str">
        <f>APPRENANTS!X86</f>
        <v/>
      </c>
      <c r="J105" s="6" t="str">
        <f>'PAIEMENTS &amp; COMMISSIONS'!L86</f>
        <v>En retard - a verser</v>
      </c>
      <c r="K105" s="10" t="str">
        <f>APPRENANTS!Y86</f>
        <v>Oui</v>
      </c>
    </row>
    <row r="106" ht="15.0" customHeight="1">
      <c r="B106" s="6" t="str">
        <f>APPRENANTS!A87</f>
        <v>Proskills Institut</v>
      </c>
      <c r="C106" s="6" t="str">
        <f>APPRENANTS!B87</f>
        <v>BONILLO Olivier</v>
      </c>
      <c r="D106" s="6" t="str">
        <f>APPRENANTS!C87</f>
        <v>Jules</v>
      </c>
      <c r="E106" s="6" t="str">
        <f>APPRENANTS!U87</f>
        <v>Analyse du besoin, CV, Questionnaire/Test, Convocation, Eval intermediaire, Eval finale, Questionnaire satisfaction, Document de fin</v>
      </c>
      <c r="F106" s="14">
        <f>APPRENANTS!V87</f>
        <v>0.1111111111</v>
      </c>
      <c r="G106" s="6" t="str">
        <f>'WEDOF - EXAMEN FINAL'!M87</f>
        <v>CV, CIN, 6 dossiers admin, Convocation examen</v>
      </c>
      <c r="H106" s="6" t="str">
        <f>APPRENANTS!W87</f>
        <v>A RELANCER : Analyse du besoin, CV, Questionnaire/Test, Convocation, Eval intermediaire, Eval finale, Questionnaire satisfaction, Document de fin</v>
      </c>
      <c r="I106" s="6" t="str">
        <f>APPRENANTS!X87</f>
        <v/>
      </c>
      <c r="J106" s="6" t="str">
        <f>'PAIEMENTS &amp; COMMISSIONS'!L87</f>
        <v>En retard - a verser</v>
      </c>
      <c r="K106" s="10" t="str">
        <f>APPRENANTS!Y87</f>
        <v>Oui</v>
      </c>
    </row>
    <row r="107" ht="15.0" customHeight="1">
      <c r="B107" s="6" t="str">
        <f>APPRENANTS!A88</f>
        <v>Proskills Institut</v>
      </c>
      <c r="C107" s="6" t="str">
        <f>APPRENANTS!B88</f>
        <v>BONILLO Olivier</v>
      </c>
      <c r="D107" s="6" t="str">
        <f>APPRENANTS!C88</f>
        <v>Jules</v>
      </c>
      <c r="E107" s="6" t="str">
        <f>APPRENANTS!U88</f>
        <v>Analyse du besoin, CV, Questionnaire/Test, Convocation, Eval intermediaire, Eval finale, Questionnaire satisfaction, Document de fin</v>
      </c>
      <c r="F107" s="14">
        <f>APPRENANTS!V88</f>
        <v>0.1111111111</v>
      </c>
      <c r="G107" s="6" t="str">
        <f>'WEDOF - EXAMEN FINAL'!M88</f>
        <v>CV, CIN, 6 dossiers admin, Convocation examen</v>
      </c>
      <c r="H107" s="6" t="str">
        <f>APPRENANTS!W88</f>
        <v>A RELANCER : Analyse du besoin, CV, Questionnaire/Test, Convocation, Eval intermediaire, Eval finale, Questionnaire satisfaction, Document de fin</v>
      </c>
      <c r="I107" s="6" t="str">
        <f>APPRENANTS!X88</f>
        <v/>
      </c>
      <c r="J107" s="6" t="str">
        <f>'PAIEMENTS &amp; COMMISSIONS'!L88</f>
        <v>En retard - a verser</v>
      </c>
      <c r="K107" s="10" t="str">
        <f>APPRENANTS!Y88</f>
        <v>Oui</v>
      </c>
    </row>
    <row r="108" ht="15.0" customHeight="1">
      <c r="B108" s="6" t="str">
        <f>APPRENANTS!A89</f>
        <v>Proskills Institut</v>
      </c>
      <c r="C108" s="6" t="str">
        <f>APPRENANTS!B89</f>
        <v>GRAS Arnaud</v>
      </c>
      <c r="D108" s="6" t="str">
        <f>APPRENANTS!C89</f>
        <v>Djody</v>
      </c>
      <c r="E108" s="6" t="str">
        <f>APPRENANTS!U89</f>
        <v>Analyse du besoin, CV, Questionnaire/Test, Contrat, Convocation, Eval intermediaire, Eval finale, Questionnaire satisfaction, Document de fin</v>
      </c>
      <c r="F108" s="14">
        <f>APPRENANTS!V89</f>
        <v>0</v>
      </c>
      <c r="G108" s="6" t="str">
        <f>'WEDOF - EXAMEN FINAL'!M89</f>
        <v>CV, CIN, 6 dossiers admin, Convocation examen</v>
      </c>
      <c r="H108" s="6" t="str">
        <f>APPRENANTS!W89</f>
        <v>A RELANCER : Analyse du besoin, CV, Questionnaire/Test, Contrat, Convocation, Eval intermediaire, Eval finale, Questionnaire satisfaction, Document de fin</v>
      </c>
      <c r="I108" s="6" t="str">
        <f>APPRENANTS!X89</f>
        <v/>
      </c>
      <c r="J108" s="6" t="str">
        <f>'PAIEMENTS &amp; COMMISSIONS'!L89</f>
        <v>En retard - a verser</v>
      </c>
      <c r="K108" s="10" t="str">
        <f>APPRENANTS!Y89</f>
        <v>Oui</v>
      </c>
    </row>
    <row r="109" ht="15.0" customHeight="1">
      <c r="B109" s="6" t="str">
        <f>APPRENANTS!A90</f>
        <v>Proskills Institut</v>
      </c>
      <c r="C109" s="6" t="str">
        <f>APPRENANTS!B90</f>
        <v>GUILLOU Mael</v>
      </c>
      <c r="D109" s="6" t="str">
        <f>APPRENANTS!C90</f>
        <v>Sabri</v>
      </c>
      <c r="E109" s="6" t="str">
        <f>APPRENANTS!U90</f>
        <v>Analyse du besoin, CV, Questionnaire/Test, Contrat, Convocation, Eval intermediaire, Eval finale, Questionnaire satisfaction, Document de fin</v>
      </c>
      <c r="F109" s="14">
        <f>APPRENANTS!V90</f>
        <v>0</v>
      </c>
      <c r="G109" s="6" t="str">
        <f>'WEDOF - EXAMEN FINAL'!M90</f>
        <v>CV, CIN, 6 dossiers admin, Convocation examen</v>
      </c>
      <c r="H109" s="6" t="str">
        <f>APPRENANTS!W90</f>
        <v>A RELANCER : Analyse du besoin, CV, Questionnaire/Test, Contrat, Convocation, Eval intermediaire, Eval finale, Questionnaire satisfaction, Document de fin</v>
      </c>
      <c r="I109" s="6" t="str">
        <f>APPRENANTS!X90</f>
        <v/>
      </c>
      <c r="J109" s="6" t="str">
        <f>'PAIEMENTS &amp; COMMISSIONS'!L90</f>
        <v>En retard - a verser</v>
      </c>
      <c r="K109" s="10" t="str">
        <f>APPRENANTS!Y90</f>
        <v>Oui</v>
      </c>
    </row>
    <row r="110" ht="15.0" customHeight="1">
      <c r="B110" s="6" t="str">
        <f>APPRENANTS!A91</f>
        <v>Proskills Institut</v>
      </c>
      <c r="C110" s="6" t="str">
        <f>APPRENANTS!B91</f>
        <v>GUILLOU Mael</v>
      </c>
      <c r="D110" s="6" t="str">
        <f>APPRENANTS!C91</f>
        <v>Sabri</v>
      </c>
      <c r="E110" s="6" t="str">
        <f>APPRENANTS!U91</f>
        <v>Analyse du besoin, CV, Questionnaire/Test, Contrat, Convocation, Eval intermediaire, Eval finale, Questionnaire satisfaction, Document de fin</v>
      </c>
      <c r="F110" s="14">
        <f>APPRENANTS!V91</f>
        <v>0</v>
      </c>
      <c r="G110" s="6" t="str">
        <f>'WEDOF - EXAMEN FINAL'!M91</f>
        <v>CV, CIN, 6 dossiers admin, Convocation examen</v>
      </c>
      <c r="H110" s="6" t="str">
        <f>APPRENANTS!W91</f>
        <v>A RELANCER : Analyse du besoin, CV, Questionnaire/Test, Contrat, Convocation, Eval intermediaire, Eval finale, Questionnaire satisfaction, Document de fin</v>
      </c>
      <c r="I110" s="6" t="str">
        <f>APPRENANTS!X91</f>
        <v/>
      </c>
      <c r="J110" s="6" t="str">
        <f>'PAIEMENTS &amp; COMMISSIONS'!L91</f>
        <v>En retard - a verser</v>
      </c>
      <c r="K110" s="10" t="str">
        <f>APPRENANTS!Y91</f>
        <v>Oui</v>
      </c>
    </row>
    <row r="111" ht="15.0" customHeight="1">
      <c r="B111" s="6" t="str">
        <f>APPRENANTS!A92</f>
        <v>Proskills Institut</v>
      </c>
      <c r="C111" s="6" t="str">
        <f>APPRENANTS!B92</f>
        <v>AMEUR Kamel</v>
      </c>
      <c r="D111" s="6" t="str">
        <f>APPRENANTS!C92</f>
        <v>Brian</v>
      </c>
      <c r="E111" s="6" t="str">
        <f>APPRENANTS!U92</f>
        <v>Analyse du besoin, CV, Questionnaire/Test, Convocation, Eval intermediaire, Eval finale, Questionnaire satisfaction, Document de fin</v>
      </c>
      <c r="F111" s="14">
        <f>APPRENANTS!V92</f>
        <v>0.1111111111</v>
      </c>
      <c r="G111" s="6" t="str">
        <f>'WEDOF - EXAMEN FINAL'!M92</f>
        <v>CV, CIN, 6 dossiers admin, Convocation examen</v>
      </c>
      <c r="H111" s="6" t="str">
        <f>APPRENANTS!W92</f>
        <v>A RELANCER : Analyse du besoin, CV, Questionnaire/Test, Convocation, Eval intermediaire, Eval finale, Questionnaire satisfaction, Document de fin</v>
      </c>
      <c r="I111" s="6" t="str">
        <f>APPRENANTS!X92</f>
        <v/>
      </c>
      <c r="J111" s="6" t="str">
        <f>'PAIEMENTS &amp; COMMISSIONS'!L92</f>
        <v>En retard - a verser</v>
      </c>
      <c r="K111" s="10" t="str">
        <f>APPRENANTS!Y92</f>
        <v>Oui</v>
      </c>
    </row>
    <row r="112" ht="15.0" customHeight="1">
      <c r="B112" s="6" t="str">
        <f>APPRENANTS!A93</f>
        <v>Proskills Institut</v>
      </c>
      <c r="C112" s="6" t="str">
        <f>APPRENANTS!B93</f>
        <v>AMEUR Kamel</v>
      </c>
      <c r="D112" s="6" t="str">
        <f>APPRENANTS!C93</f>
        <v>Brian</v>
      </c>
      <c r="E112" s="6" t="str">
        <f>APPRENANTS!U93</f>
        <v>Analyse du besoin, CV, Questionnaire/Test, Contrat, Convocation, Eval intermediaire, Eval finale, Questionnaire satisfaction, Document de fin</v>
      </c>
      <c r="F112" s="14">
        <f>APPRENANTS!V93</f>
        <v>0</v>
      </c>
      <c r="G112" s="6" t="str">
        <f>'WEDOF - EXAMEN FINAL'!M93</f>
        <v>CV, CIN, 6 dossiers admin, Convocation examen</v>
      </c>
      <c r="H112" s="6" t="str">
        <f>APPRENANTS!W93</f>
        <v>A RELANCER : Analyse du besoin, CV, Questionnaire/Test, Contrat, Convocation, Eval intermediaire, Eval finale, Questionnaire satisfaction, Document de fin</v>
      </c>
      <c r="I112" s="6" t="str">
        <f>APPRENANTS!X93</f>
        <v/>
      </c>
      <c r="J112" s="6" t="str">
        <f>'PAIEMENTS &amp; COMMISSIONS'!L93</f>
        <v>En retard - a verser</v>
      </c>
      <c r="K112" s="10" t="str">
        <f>APPRENANTS!Y93</f>
        <v>Oui</v>
      </c>
    </row>
    <row r="113" ht="15.0" customHeight="1">
      <c r="B113" s="6" t="str">
        <f>APPRENANTS!A94</f>
        <v>Proskills Institut</v>
      </c>
      <c r="C113" s="6" t="str">
        <f>APPRENANTS!B94</f>
        <v>LAUZERO Caroline</v>
      </c>
      <c r="D113" s="6" t="str">
        <f>APPRENANTS!C94</f>
        <v>Jules</v>
      </c>
      <c r="E113" s="6" t="str">
        <f>APPRENANTS!U94</f>
        <v>Analyse du besoin, CV, Questionnaire/Test, Contrat, Convocation, Eval intermediaire, Eval finale, Questionnaire satisfaction, Document de fin</v>
      </c>
      <c r="F113" s="14">
        <f>APPRENANTS!V94</f>
        <v>0</v>
      </c>
      <c r="G113" s="6" t="str">
        <f>'WEDOF - EXAMEN FINAL'!M94</f>
        <v>CV, 6 dossiers admin, Convocation examen</v>
      </c>
      <c r="H113" s="6" t="str">
        <f>APPRENANTS!W94</f>
        <v>A RELANCER : Analyse du besoin, CV, Questionnaire/Test, Contrat, Convocation, Eval intermediaire, Eval finale, Questionnaire satisfaction, Document de fin</v>
      </c>
      <c r="I113" s="6" t="str">
        <f>APPRENANTS!X94</f>
        <v/>
      </c>
      <c r="J113" s="6" t="str">
        <f>'PAIEMENTS &amp; COMMISSIONS'!L94</f>
        <v>En retard - a verser</v>
      </c>
      <c r="K113" s="10" t="str">
        <f>APPRENANTS!Y94</f>
        <v>Oui</v>
      </c>
    </row>
    <row r="114" ht="15.0" customHeight="1">
      <c r="B114" s="6" t="str">
        <f>APPRENANTS!A95</f>
        <v>Proskills Institut</v>
      </c>
      <c r="C114" s="6" t="str">
        <f>APPRENANTS!B95</f>
        <v>LAUZERO Caroline</v>
      </c>
      <c r="D114" s="6" t="str">
        <f>APPRENANTS!C95</f>
        <v>Jules</v>
      </c>
      <c r="E114" s="6" t="str">
        <f>APPRENANTS!U95</f>
        <v>Analyse du besoin, CV, Questionnaire/Test, Contrat, Convocation, Eval intermediaire, Eval finale, Questionnaire satisfaction, Document de fin</v>
      </c>
      <c r="F114" s="14">
        <f>APPRENANTS!V95</f>
        <v>0</v>
      </c>
      <c r="G114" s="6" t="str">
        <f>'WEDOF - EXAMEN FINAL'!M95</f>
        <v>CV, 6 dossiers admin, Convocation examen</v>
      </c>
      <c r="H114" s="6" t="str">
        <f>APPRENANTS!W95</f>
        <v>A RELANCER : Analyse du besoin, CV, Questionnaire/Test, Contrat, Convocation, Eval intermediaire, Eval finale, Questionnaire satisfaction, Document de fin</v>
      </c>
      <c r="I114" s="6" t="str">
        <f>APPRENANTS!X95</f>
        <v/>
      </c>
      <c r="J114" s="6" t="str">
        <f>'PAIEMENTS &amp; COMMISSIONS'!L95</f>
        <v>En retard - a verser</v>
      </c>
      <c r="K114" s="10" t="str">
        <f>APPRENANTS!Y95</f>
        <v>Oui</v>
      </c>
    </row>
    <row r="115" ht="15.0" customHeight="1">
      <c r="B115" s="6" t="str">
        <f>APPRENANTS!A96</f>
        <v>Proskills Institut</v>
      </c>
      <c r="C115" s="6" t="str">
        <f>APPRENANTS!B96</f>
        <v>LAUZERO Caroline</v>
      </c>
      <c r="D115" s="6" t="str">
        <f>APPRENANTS!C96</f>
        <v>Jules</v>
      </c>
      <c r="E115" s="6" t="str">
        <f>APPRENANTS!U96</f>
        <v>Analyse du besoin, CV, Questionnaire/Test, Contrat, Convocation, Eval intermediaire, Eval finale, Questionnaire satisfaction, Document de fin</v>
      </c>
      <c r="F115" s="14">
        <f>APPRENANTS!V96</f>
        <v>0</v>
      </c>
      <c r="G115" s="6" t="str">
        <f>'WEDOF - EXAMEN FINAL'!M96</f>
        <v>CV, 6 dossiers admin, Convocation examen</v>
      </c>
      <c r="H115" s="6" t="str">
        <f>APPRENANTS!W96</f>
        <v>A RELANCER : Analyse du besoin, CV, Questionnaire/Test, Contrat, Convocation, Eval intermediaire, Eval finale, Questionnaire satisfaction, Document de fin</v>
      </c>
      <c r="I115" s="6" t="str">
        <f>APPRENANTS!X96</f>
        <v/>
      </c>
      <c r="J115" s="6" t="str">
        <f>'PAIEMENTS &amp; COMMISSIONS'!L96</f>
        <v>En retard - a verser</v>
      </c>
      <c r="K115" s="10" t="str">
        <f>APPRENANTS!Y96</f>
        <v>Oui</v>
      </c>
    </row>
    <row r="116" ht="15.0" customHeight="1">
      <c r="B116" s="6" t="str">
        <f>APPRENANTS!A97</f>
        <v>Proskills Institut</v>
      </c>
      <c r="C116" s="6" t="str">
        <f>APPRENANTS!B97</f>
        <v>HUGARD Jose</v>
      </c>
      <c r="D116" s="6" t="str">
        <f>APPRENANTS!C97</f>
        <v>Brian</v>
      </c>
      <c r="E116" s="6" t="str">
        <f>APPRENANTS!U97</f>
        <v>Analyse du besoin, CV, Questionnaire/Test, Contrat, Convocation, Eval intermediaire, Eval finale, Questionnaire satisfaction, Document de fin</v>
      </c>
      <c r="F116" s="14">
        <f>APPRENANTS!V97</f>
        <v>0</v>
      </c>
      <c r="G116" s="6" t="str">
        <f>'WEDOF - EXAMEN FINAL'!M97</f>
        <v>CV, 6 dossiers admin, Convocation examen</v>
      </c>
      <c r="H116" s="6" t="str">
        <f>APPRENANTS!W97</f>
        <v>A RELANCER : Analyse du besoin, CV, Questionnaire/Test, Contrat, Convocation, Eval intermediaire, Eval finale, Questionnaire satisfaction, Document de fin</v>
      </c>
      <c r="I116" s="6" t="str">
        <f>APPRENANTS!X97</f>
        <v/>
      </c>
      <c r="J116" s="6" t="str">
        <f>'PAIEMENTS &amp; COMMISSIONS'!L97</f>
        <v>En retard - a verser</v>
      </c>
      <c r="K116" s="10" t="str">
        <f>APPRENANTS!Y97</f>
        <v>Oui</v>
      </c>
    </row>
    <row r="117" ht="15.0" customHeight="1">
      <c r="B117" s="6" t="str">
        <f>APPRENANTS!A98</f>
        <v>Proskills Institut</v>
      </c>
      <c r="C117" s="6" t="str">
        <f>APPRENANTS!B98</f>
        <v>HUGARD Jose</v>
      </c>
      <c r="D117" s="6" t="str">
        <f>APPRENANTS!C98</f>
        <v>Brian</v>
      </c>
      <c r="E117" s="6" t="str">
        <f>APPRENANTS!U98</f>
        <v>Analyse du besoin, CV, Questionnaire/Test, Contrat, Convocation, Eval intermediaire, Eval finale, Questionnaire satisfaction, Document de fin</v>
      </c>
      <c r="F117" s="14">
        <f>APPRENANTS!V98</f>
        <v>0</v>
      </c>
      <c r="G117" s="6" t="str">
        <f>'WEDOF - EXAMEN FINAL'!M98</f>
        <v>CV, 6 dossiers admin, Convocation examen</v>
      </c>
      <c r="H117" s="6" t="str">
        <f>APPRENANTS!W98</f>
        <v>A RELANCER : Analyse du besoin, CV, Questionnaire/Test, Contrat, Convocation, Eval intermediaire, Eval finale, Questionnaire satisfaction, Document de fin</v>
      </c>
      <c r="I117" s="6" t="str">
        <f>APPRENANTS!X98</f>
        <v/>
      </c>
      <c r="J117" s="6" t="str">
        <f>'PAIEMENTS &amp; COMMISSIONS'!L98</f>
        <v>En retard - a verser</v>
      </c>
      <c r="K117" s="10" t="str">
        <f>APPRENANTS!Y98</f>
        <v>Oui</v>
      </c>
    </row>
    <row r="118" ht="15.0" customHeight="1">
      <c r="B118" s="6" t="str">
        <f>APPRENANTS!A99</f>
        <v>Proskills Institut</v>
      </c>
      <c r="C118" s="6" t="str">
        <f>APPRENANTS!B99</f>
        <v>HUGARD Jose</v>
      </c>
      <c r="D118" s="6" t="str">
        <f>APPRENANTS!C99</f>
        <v>Brian</v>
      </c>
      <c r="E118" s="6" t="str">
        <f>APPRENANTS!U99</f>
        <v>Analyse du besoin, CV, Questionnaire/Test, Contrat, Convocation, Eval intermediaire, Eval finale, Questionnaire satisfaction, Document de fin</v>
      </c>
      <c r="F118" s="14">
        <f>APPRENANTS!V99</f>
        <v>0</v>
      </c>
      <c r="G118" s="6" t="str">
        <f>'WEDOF - EXAMEN FINAL'!M99</f>
        <v>CV, 6 dossiers admin, Convocation examen</v>
      </c>
      <c r="H118" s="6" t="str">
        <f>APPRENANTS!W99</f>
        <v>A RELANCER : Analyse du besoin, CV, Questionnaire/Test, Contrat, Convocation, Eval intermediaire, Eval finale, Questionnaire satisfaction, Document de fin</v>
      </c>
      <c r="I118" s="6" t="str">
        <f>APPRENANTS!X99</f>
        <v/>
      </c>
      <c r="J118" s="6" t="str">
        <f>'PAIEMENTS &amp; COMMISSIONS'!L99</f>
        <v>En retard - a verser</v>
      </c>
      <c r="K118" s="10" t="str">
        <f>APPRENANTS!Y99</f>
        <v>Oui</v>
      </c>
    </row>
    <row r="119" ht="15.0" customHeight="1">
      <c r="B119" s="6" t="str">
        <f>APPRENANTS!A100</f>
        <v>Proskills Institut</v>
      </c>
      <c r="C119" s="6" t="str">
        <f>APPRENANTS!B100</f>
        <v>GILLY Laurent</v>
      </c>
      <c r="D119" s="6" t="str">
        <f>APPRENANTS!C100</f>
        <v>Jules</v>
      </c>
      <c r="E119" s="6" t="str">
        <f>APPRENANTS!U100</f>
        <v>Analyse du besoin, CV, Questionnaire/Test, Contrat, Convocation, Eval intermediaire, Eval finale, Questionnaire satisfaction, Document de fin</v>
      </c>
      <c r="F119" s="14">
        <f>APPRENANTS!V100</f>
        <v>0</v>
      </c>
      <c r="G119" s="6" t="str">
        <f>'WEDOF - EXAMEN FINAL'!M100</f>
        <v>CV, CIN, 6 dossiers admin, Convocation examen</v>
      </c>
      <c r="H119" s="6" t="str">
        <f>APPRENANTS!W100</f>
        <v>A RELANCER : Analyse du besoin, CV, Questionnaire/Test, Contrat, Convocation, Eval intermediaire, Eval finale, Questionnaire satisfaction, Document de fin</v>
      </c>
      <c r="I119" s="6" t="str">
        <f>APPRENANTS!X100</f>
        <v/>
      </c>
      <c r="J119" s="6" t="str">
        <f>'PAIEMENTS &amp; COMMISSIONS'!L100</f>
        <v>En retard - a verser</v>
      </c>
      <c r="K119" s="10" t="str">
        <f>APPRENANTS!Y100</f>
        <v>Oui</v>
      </c>
    </row>
    <row r="120" ht="15.0" customHeight="1">
      <c r="B120" s="6" t="str">
        <f>APPRENANTS!A101</f>
        <v>Proskills Institut</v>
      </c>
      <c r="C120" s="6" t="str">
        <f>APPRENANTS!B101</f>
        <v>GILLY Laurent</v>
      </c>
      <c r="D120" s="6" t="str">
        <f>APPRENANTS!C101</f>
        <v>Jules</v>
      </c>
      <c r="E120" s="6" t="str">
        <f>APPRENANTS!U101</f>
        <v>Analyse du besoin, CV, Questionnaire/Test, Contrat, Convocation, Eval intermediaire, Eval finale, Questionnaire satisfaction, Document de fin</v>
      </c>
      <c r="F120" s="14">
        <f>APPRENANTS!V101</f>
        <v>0</v>
      </c>
      <c r="G120" s="6" t="str">
        <f>'WEDOF - EXAMEN FINAL'!M101</f>
        <v>CV, CIN, 6 dossiers admin, Convocation examen</v>
      </c>
      <c r="H120" s="6" t="str">
        <f>APPRENANTS!W101</f>
        <v>A RELANCER : Analyse du besoin, CV, Questionnaire/Test, Contrat, Convocation, Eval intermediaire, Eval finale, Questionnaire satisfaction, Document de fin</v>
      </c>
      <c r="I120" s="6" t="str">
        <f>APPRENANTS!X101</f>
        <v/>
      </c>
      <c r="J120" s="6" t="str">
        <f>'PAIEMENTS &amp; COMMISSIONS'!L101</f>
        <v>En retard - a verser</v>
      </c>
      <c r="K120" s="10" t="str">
        <f>APPRENANTS!Y101</f>
        <v>Oui</v>
      </c>
    </row>
    <row r="121" ht="15.0" customHeight="1">
      <c r="B121" s="6" t="str">
        <f>APPRENANTS!A102</f>
        <v>Proskills Institut</v>
      </c>
      <c r="C121" s="6" t="str">
        <f>APPRENANTS!B102</f>
        <v>Mona Bahar</v>
      </c>
      <c r="D121" s="6" t="str">
        <f>APPRENANTS!C102</f>
        <v>frere karim</v>
      </c>
      <c r="E121" s="6" t="str">
        <f>APPRENANTS!U102</f>
        <v>Analyse du besoin, CV, Questionnaire/Test, Contrat, Convocation, Eval intermediaire, Eval finale, Questionnaire satisfaction, Document de fin</v>
      </c>
      <c r="F121" s="14">
        <f>APPRENANTS!V102</f>
        <v>0</v>
      </c>
      <c r="G121" s="6" t="str">
        <f>'WEDOF - EXAMEN FINAL'!M102</f>
        <v>CV, CIN, 6 dossiers admin, Convocation examen</v>
      </c>
      <c r="H121" s="6" t="str">
        <f>APPRENANTS!W102</f>
        <v>A RELANCER : Analyse du besoin, CV, Questionnaire/Test, Contrat, Convocation, Eval intermediaire, Eval finale, Questionnaire satisfaction, Document de fin</v>
      </c>
      <c r="I121" s="6" t="str">
        <f>APPRENANTS!X102</f>
        <v/>
      </c>
      <c r="J121" s="6" t="str">
        <f>'PAIEMENTS &amp; COMMISSIONS'!L102</f>
        <v>En retard - a verser</v>
      </c>
      <c r="K121" s="10" t="str">
        <f>APPRENANTS!Y102</f>
        <v>Oui</v>
      </c>
    </row>
    <row r="122" ht="15.0" customHeight="1">
      <c r="B122" s="6" t="str">
        <f>APPRENANTS!A103</f>
        <v>Proskills Institut</v>
      </c>
      <c r="C122" s="6" t="str">
        <f>APPRENANTS!B103</f>
        <v>REIG Stephane</v>
      </c>
      <c r="D122" s="6" t="str">
        <f>APPRENANTS!C103</f>
        <v>GRAS</v>
      </c>
      <c r="E122" s="6" t="str">
        <f>APPRENANTS!U103</f>
        <v>Analyse du besoin, CV, Questionnaire/Test, Contrat, Convocation, Eval intermediaire, Eval finale, Questionnaire satisfaction, Document de fin</v>
      </c>
      <c r="F122" s="14">
        <f>APPRENANTS!V103</f>
        <v>0</v>
      </c>
      <c r="G122" s="6" t="str">
        <f>'WEDOF - EXAMEN FINAL'!M103</f>
        <v>CV, CIN, 6 dossiers admin, Convocation examen</v>
      </c>
      <c r="H122" s="6" t="str">
        <f>APPRENANTS!W103</f>
        <v>A RELANCER : Analyse du besoin, CV, Questionnaire/Test, Contrat, Convocation, Eval intermediaire, Eval finale, Questionnaire satisfaction, Document de fin</v>
      </c>
      <c r="I122" s="6" t="str">
        <f>APPRENANTS!X103</f>
        <v/>
      </c>
      <c r="J122" s="6" t="str">
        <f>'PAIEMENTS &amp; COMMISSIONS'!L103</f>
        <v>En retard - a verser</v>
      </c>
      <c r="K122" s="10" t="str">
        <f>APPRENANTS!Y103</f>
        <v>Oui</v>
      </c>
    </row>
    <row r="123" ht="15.0" customHeight="1">
      <c r="B123" s="6" t="str">
        <f>APPRENANTS!A104</f>
        <v>Proskills Institut</v>
      </c>
      <c r="C123" s="6" t="str">
        <f>APPRENANTS!B104</f>
        <v>REIG Stephane</v>
      </c>
      <c r="D123" s="6" t="str">
        <f>APPRENANTS!C104</f>
        <v>GRAS</v>
      </c>
      <c r="E123" s="6" t="str">
        <f>APPRENANTS!U104</f>
        <v>Analyse du besoin, CV, Questionnaire/Test, Contrat, Convocation, Eval intermediaire, Eval finale, Questionnaire satisfaction, Document de fin</v>
      </c>
      <c r="F123" s="14">
        <f>APPRENANTS!V104</f>
        <v>0</v>
      </c>
      <c r="G123" s="6" t="str">
        <f>'WEDOF - EXAMEN FINAL'!M104</f>
        <v>CV, CIN, 6 dossiers admin, Convocation examen</v>
      </c>
      <c r="H123" s="6" t="str">
        <f>APPRENANTS!W104</f>
        <v>A RELANCER : Analyse du besoin, CV, Questionnaire/Test, Contrat, Convocation, Eval intermediaire, Eval finale, Questionnaire satisfaction, Document de fin</v>
      </c>
      <c r="I123" s="6" t="str">
        <f>APPRENANTS!X104</f>
        <v/>
      </c>
      <c r="J123" s="6" t="str">
        <f>'PAIEMENTS &amp; COMMISSIONS'!L104</f>
        <v>A venir</v>
      </c>
      <c r="K123" s="10" t="str">
        <f>APPRENANTS!Y104</f>
        <v>Oui</v>
      </c>
    </row>
    <row r="124" ht="15.0" customHeight="1">
      <c r="B124" s="6" t="str">
        <f>APPRENANTS!A105</f>
        <v>Proskills Institut</v>
      </c>
      <c r="C124" s="6" t="str">
        <f>APPRENANTS!B105</f>
        <v>BAHAR Achraf</v>
      </c>
      <c r="D124" s="6" t="str">
        <f>APPRENANTS!C105</f>
        <v>frere karim</v>
      </c>
      <c r="E124" s="6" t="str">
        <f>APPRENANTS!U105</f>
        <v>Analyse du besoin, CV, Questionnaire/Test, Contrat, Convocation, Eval intermediaire, Eval finale, Questionnaire satisfaction, Document de fin</v>
      </c>
      <c r="F124" s="14">
        <f>APPRENANTS!V105</f>
        <v>0</v>
      </c>
      <c r="G124" s="6" t="str">
        <f>'WEDOF - EXAMEN FINAL'!M105</f>
        <v>CV, CIN, 6 dossiers admin, Convocation examen</v>
      </c>
      <c r="H124" s="6" t="str">
        <f>APPRENANTS!W105</f>
        <v>A RELANCER : Analyse du besoin, CV, Questionnaire/Test, Contrat, Convocation, Eval intermediaire, Eval finale, Questionnaire satisfaction, Document de fin</v>
      </c>
      <c r="I124" s="6" t="str">
        <f>APPRENANTS!X105</f>
        <v/>
      </c>
      <c r="J124" s="6" t="str">
        <f>'PAIEMENTS &amp; COMMISSIONS'!L105</f>
        <v>En retard - a verser</v>
      </c>
      <c r="K124" s="10" t="str">
        <f>APPRENANTS!Y105</f>
        <v>Oui</v>
      </c>
    </row>
    <row r="125" ht="15.0" customHeight="1">
      <c r="B125" s="6" t="str">
        <f>APPRENANTS!A106</f>
        <v>Proskills Institut</v>
      </c>
      <c r="C125" s="6" t="str">
        <f>APPRENANTS!B106</f>
        <v>BAHAR Achraf</v>
      </c>
      <c r="D125" s="6" t="str">
        <f>APPRENANTS!C106</f>
        <v>frere karim</v>
      </c>
      <c r="E125" s="6" t="str">
        <f>APPRENANTS!U106</f>
        <v>Analyse du besoin, CV, Questionnaire/Test, Contrat, Convocation, Eval intermediaire, Eval finale, Questionnaire satisfaction, Document de fin</v>
      </c>
      <c r="F125" s="14">
        <f>APPRENANTS!V106</f>
        <v>0</v>
      </c>
      <c r="G125" s="6" t="str">
        <f>'WEDOF - EXAMEN FINAL'!M106</f>
        <v>CV, CIN, 6 dossiers admin, Convocation examen</v>
      </c>
      <c r="H125" s="6" t="str">
        <f>APPRENANTS!W106</f>
        <v>A RELANCER : Analyse du besoin, CV, Questionnaire/Test, Contrat, Convocation, Eval intermediaire, Eval finale, Questionnaire satisfaction, Document de fin</v>
      </c>
      <c r="I125" s="6" t="str">
        <f>APPRENANTS!X106</f>
        <v/>
      </c>
      <c r="J125" s="6" t="str">
        <f>'PAIEMENTS &amp; COMMISSIONS'!L106</f>
        <v>A venir</v>
      </c>
      <c r="K125" s="10" t="str">
        <f>APPRENANTS!Y106</f>
        <v>Oui</v>
      </c>
    </row>
    <row r="126" ht="15.0" customHeight="1">
      <c r="B126" s="6" t="str">
        <f>APPRENANTS!A107</f>
        <v>Proskills Institut</v>
      </c>
      <c r="C126" s="6" t="str">
        <f>APPRENANTS!B107</f>
        <v>LAREF Faouzi</v>
      </c>
      <c r="D126" s="6" t="str">
        <f>APPRENANTS!C107</f>
        <v>Nedjma</v>
      </c>
      <c r="E126" s="6" t="str">
        <f>APPRENANTS!U107</f>
        <v>Analyse du besoin, CV, Questionnaire/Test, Contrat, Convocation, Eval intermediaire, Eval finale, Questionnaire satisfaction, Document de fin</v>
      </c>
      <c r="F126" s="14">
        <f>APPRENANTS!V107</f>
        <v>0</v>
      </c>
      <c r="G126" s="6" t="str">
        <f>'WEDOF - EXAMEN FINAL'!M107</f>
        <v>CV, CIN, 6 dossiers admin, Convocation examen</v>
      </c>
      <c r="H126" s="6" t="str">
        <f>APPRENANTS!W107</f>
        <v>A RELANCER : Analyse du besoin, CV, Questionnaire/Test, Contrat, Convocation, Eval intermediaire, Eval finale, Questionnaire satisfaction, Document de fin</v>
      </c>
      <c r="I126" s="6" t="str">
        <f>APPRENANTS!X107</f>
        <v/>
      </c>
      <c r="J126" s="6" t="str">
        <f>'PAIEMENTS &amp; COMMISSIONS'!L107</f>
        <v>En retard - a verser</v>
      </c>
      <c r="K126" s="10" t="str">
        <f>APPRENANTS!Y107</f>
        <v>Oui</v>
      </c>
    </row>
    <row r="127" ht="15.0" customHeight="1">
      <c r="B127" s="6" t="str">
        <f>APPRENANTS!A108</f>
        <v>Proskills Institut</v>
      </c>
      <c r="C127" s="6" t="str">
        <f>APPRENANTS!B108</f>
        <v>LAREF Faouzi</v>
      </c>
      <c r="D127" s="6" t="str">
        <f>APPRENANTS!C108</f>
        <v>Nedjma</v>
      </c>
      <c r="E127" s="6" t="str">
        <f>APPRENANTS!U108</f>
        <v>Analyse du besoin, CV, Questionnaire/Test, Contrat, Convocation, Eval intermediaire, Eval finale, Questionnaire satisfaction, Document de fin</v>
      </c>
      <c r="F127" s="14">
        <f>APPRENANTS!V108</f>
        <v>0</v>
      </c>
      <c r="G127" s="6" t="str">
        <f>'WEDOF - EXAMEN FINAL'!M108</f>
        <v>CV, CIN, 6 dossiers admin, Convocation examen</v>
      </c>
      <c r="H127" s="6" t="str">
        <f>APPRENANTS!W108</f>
        <v>A RELANCER : Analyse du besoin, CV, Questionnaire/Test, Contrat, Convocation, Eval intermediaire, Eval finale, Questionnaire satisfaction, Document de fin</v>
      </c>
      <c r="I127" s="6" t="str">
        <f>APPRENANTS!X108</f>
        <v/>
      </c>
      <c r="J127" s="6" t="str">
        <f>'PAIEMENTS &amp; COMMISSIONS'!L108</f>
        <v>A venir</v>
      </c>
      <c r="K127" s="10" t="str">
        <f>APPRENANTS!Y108</f>
        <v>Oui</v>
      </c>
    </row>
    <row r="128" ht="15.0" customHeight="1">
      <c r="B128" s="6" t="str">
        <f>APPRENANTS!A109</f>
        <v>Proskills Institut</v>
      </c>
      <c r="C128" s="6" t="str">
        <f>APPRENANTS!B109</f>
        <v>LAREF Faouzi</v>
      </c>
      <c r="D128" s="6" t="str">
        <f>APPRENANTS!C109</f>
        <v>Nedjma</v>
      </c>
      <c r="E128" s="6" t="str">
        <f>APPRENANTS!U109</f>
        <v>Analyse du besoin, CV, Questionnaire/Test, Contrat, Convocation, Eval intermediaire, Eval finale, Questionnaire satisfaction, Document de fin</v>
      </c>
      <c r="F128" s="14">
        <f>APPRENANTS!V109</f>
        <v>0</v>
      </c>
      <c r="G128" s="6" t="str">
        <f>'WEDOF - EXAMEN FINAL'!M109</f>
        <v>CV, CIN, 6 dossiers admin, Convocation examen</v>
      </c>
      <c r="H128" s="6" t="str">
        <f>APPRENANTS!W109</f>
        <v>A RELANCER : Analyse du besoin, CV, Questionnaire/Test, Contrat, Convocation, Eval intermediaire, Eval finale, Questionnaire satisfaction, Document de fin</v>
      </c>
      <c r="I128" s="6" t="str">
        <f>APPRENANTS!X109</f>
        <v/>
      </c>
      <c r="J128" s="6" t="str">
        <f>'PAIEMENTS &amp; COMMISSIONS'!L109</f>
        <v>En retard - a verser</v>
      </c>
      <c r="K128" s="10" t="str">
        <f>APPRENANTS!Y109</f>
        <v>Oui</v>
      </c>
    </row>
    <row r="129" ht="15.0" customHeight="1">
      <c r="B129" s="6" t="str">
        <f>APPRENANTS!A110</f>
        <v>Proskills Institut</v>
      </c>
      <c r="C129" s="6" t="str">
        <f>APPRENANTS!B110</f>
        <v>SCHIANCHI Emmanuel</v>
      </c>
      <c r="D129" s="6" t="str">
        <f>APPRENANTS!C110</f>
        <v>Djody</v>
      </c>
      <c r="E129" s="6" t="str">
        <f>APPRENANTS!U110</f>
        <v>Analyse du besoin, CV, Questionnaire/Test, Contrat, Convocation, Eval intermediaire, Eval finale, Questionnaire satisfaction, Document de fin</v>
      </c>
      <c r="F129" s="14">
        <f>APPRENANTS!V110</f>
        <v>0</v>
      </c>
      <c r="G129" s="6" t="str">
        <f>'WEDOF - EXAMEN FINAL'!M110</f>
        <v>CV, 6 dossiers admin, Convocation examen</v>
      </c>
      <c r="H129" s="6" t="str">
        <f>APPRENANTS!W110</f>
        <v>A RELANCER : Analyse du besoin, CV, Questionnaire/Test, Contrat, Convocation, Eval intermediaire, Eval finale, Questionnaire satisfaction, Document de fin</v>
      </c>
      <c r="I129" s="6" t="str">
        <f>APPRENANTS!X110</f>
        <v/>
      </c>
      <c r="J129" s="6" t="str">
        <f>'PAIEMENTS &amp; COMMISSIONS'!L110</f>
        <v>En retard - a verser</v>
      </c>
      <c r="K129" s="10" t="str">
        <f>APPRENANTS!Y110</f>
        <v>Oui</v>
      </c>
    </row>
    <row r="130" ht="15.0" customHeight="1">
      <c r="B130" s="6" t="str">
        <f>APPRENANTS!A111</f>
        <v>Proskills Institut</v>
      </c>
      <c r="C130" s="6" t="str">
        <f>APPRENANTS!B111</f>
        <v>SCHIANCHI Emmanuel</v>
      </c>
      <c r="D130" s="6" t="str">
        <f>APPRENANTS!C111</f>
        <v>Djody</v>
      </c>
      <c r="E130" s="6" t="str">
        <f>APPRENANTS!U111</f>
        <v>Analyse du besoin, CV, Questionnaire/Test, Contrat, Convocation, Eval intermediaire, Eval finale, Questionnaire satisfaction, Document de fin</v>
      </c>
      <c r="F130" s="14">
        <f>APPRENANTS!V111</f>
        <v>0</v>
      </c>
      <c r="G130" s="6" t="str">
        <f>'WEDOF - EXAMEN FINAL'!M111</f>
        <v>CV, 6 dossiers admin, Convocation examen</v>
      </c>
      <c r="H130" s="6" t="str">
        <f>APPRENANTS!W111</f>
        <v>A RELANCER : Analyse du besoin, CV, Questionnaire/Test, Contrat, Convocation, Eval intermediaire, Eval finale, Questionnaire satisfaction, Document de fin</v>
      </c>
      <c r="I130" s="6" t="str">
        <f>APPRENANTS!X111</f>
        <v/>
      </c>
      <c r="J130" s="6" t="str">
        <f>'PAIEMENTS &amp; COMMISSIONS'!L111</f>
        <v>A venir</v>
      </c>
      <c r="K130" s="10" t="str">
        <f>APPRENANTS!Y111</f>
        <v>Oui</v>
      </c>
    </row>
    <row r="131" ht="15.0" customHeight="1">
      <c r="B131" s="6" t="str">
        <f>APPRENANTS!A112</f>
        <v>Proskills Institut</v>
      </c>
      <c r="C131" s="6" t="str">
        <f>APPRENANTS!B112</f>
        <v>SCHIANCHI Emmanuel</v>
      </c>
      <c r="D131" s="6" t="str">
        <f>APPRENANTS!C112</f>
        <v>Djody</v>
      </c>
      <c r="E131" s="6" t="str">
        <f>APPRENANTS!U112</f>
        <v>Analyse du besoin, CV, Questionnaire/Test, Contrat, Convocation, Eval intermediaire, Eval finale, Questionnaire satisfaction, Document de fin</v>
      </c>
      <c r="F131" s="14">
        <f>APPRENANTS!V112</f>
        <v>0</v>
      </c>
      <c r="G131" s="6" t="str">
        <f>'WEDOF - EXAMEN FINAL'!M112</f>
        <v>CV, 6 dossiers admin, Convocation examen</v>
      </c>
      <c r="H131" s="6" t="str">
        <f>APPRENANTS!W112</f>
        <v>A RELANCER : Analyse du besoin, CV, Questionnaire/Test, Contrat, Convocation, Eval intermediaire, Eval finale, Questionnaire satisfaction, Document de fin</v>
      </c>
      <c r="I131" s="6" t="str">
        <f>APPRENANTS!X112</f>
        <v/>
      </c>
      <c r="J131" s="6" t="str">
        <f>'PAIEMENTS &amp; COMMISSIONS'!L112</f>
        <v>En retard - a verser</v>
      </c>
      <c r="K131" s="10" t="str">
        <f>APPRENANTS!Y112</f>
        <v>Oui</v>
      </c>
    </row>
    <row r="132" ht="15.0" customHeight="1">
      <c r="B132" s="6" t="str">
        <f>APPRENANTS!A113</f>
        <v>Proskills Institut</v>
      </c>
      <c r="C132" s="6" t="str">
        <f>APPRENANTS!B113</f>
        <v>Yasmina Bessa</v>
      </c>
      <c r="D132" s="6" t="str">
        <f>APPRENANTS!C113</f>
        <v>Jean</v>
      </c>
      <c r="E132" s="6" t="str">
        <f>APPRENANTS!U113</f>
        <v>Analyse du besoin, CV, Questionnaire/Test, Contrat, Convocation, Eval intermediaire, Eval finale, Questionnaire satisfaction, Document de fin</v>
      </c>
      <c r="F132" s="14">
        <f>APPRENANTS!V113</f>
        <v>0</v>
      </c>
      <c r="G132" s="6" t="str">
        <f>'WEDOF - EXAMEN FINAL'!M113</f>
        <v>CV, 6 dossiers admin, Convocation examen</v>
      </c>
      <c r="H132" s="6" t="str">
        <f>APPRENANTS!W113</f>
        <v>A RELANCER : Analyse du besoin, CV, Questionnaire/Test, Contrat, Convocation, Eval intermediaire, Eval finale, Questionnaire satisfaction, Document de fin</v>
      </c>
      <c r="I132" s="6" t="str">
        <f>APPRENANTS!X113</f>
        <v/>
      </c>
      <c r="J132" s="6" t="str">
        <f>'PAIEMENTS &amp; COMMISSIONS'!L113</f>
        <v>A venir</v>
      </c>
      <c r="K132" s="10" t="str">
        <f>APPRENANTS!Y113</f>
        <v>Oui</v>
      </c>
    </row>
    <row r="133" ht="15.0" customHeight="1">
      <c r="B133" s="6" t="str">
        <f>APPRENANTS!A114</f>
        <v>Proskills Institut</v>
      </c>
      <c r="C133" s="6" t="str">
        <f>APPRENANTS!B114</f>
        <v>Yasmina Bessa</v>
      </c>
      <c r="D133" s="6" t="str">
        <f>APPRENANTS!C114</f>
        <v>Jean</v>
      </c>
      <c r="E133" s="6" t="str">
        <f>APPRENANTS!U114</f>
        <v>Analyse du besoin, CV, Questionnaire/Test, Contrat, Convocation, Eval intermediaire, Eval finale, Questionnaire satisfaction, Document de fin</v>
      </c>
      <c r="F133" s="14">
        <f>APPRENANTS!V114</f>
        <v>0</v>
      </c>
      <c r="G133" s="6" t="str">
        <f>'WEDOF - EXAMEN FINAL'!M114</f>
        <v>CV, 6 dossiers admin, Convocation examen</v>
      </c>
      <c r="H133" s="6" t="str">
        <f>APPRENANTS!W114</f>
        <v>A RELANCER : Analyse du besoin, CV, Questionnaire/Test, Contrat, Convocation, Eval intermediaire, Eval finale, Questionnaire satisfaction, Document de fin</v>
      </c>
      <c r="I133" s="6" t="str">
        <f>APPRENANTS!X114</f>
        <v/>
      </c>
      <c r="J133" s="6" t="str">
        <f>'PAIEMENTS &amp; COMMISSIONS'!L114</f>
        <v>A venir</v>
      </c>
      <c r="K133" s="10" t="str">
        <f>APPRENANTS!Y114</f>
        <v>Oui</v>
      </c>
    </row>
    <row r="134" ht="15.0" customHeight="1">
      <c r="B134" s="6" t="str">
        <f>APPRENANTS!A115</f>
        <v>Proskills Institut</v>
      </c>
      <c r="C134" s="6" t="str">
        <f>APPRENANTS!B115</f>
        <v>Lyess Mohamed</v>
      </c>
      <c r="D134" s="6" t="str">
        <f>APPRENANTS!C115</f>
        <v>Jean</v>
      </c>
      <c r="E134" s="6" t="str">
        <f>APPRENANTS!U115</f>
        <v>Analyse du besoin, CV, Questionnaire/Test, Contrat, Convocation, Eval intermediaire, Eval finale, Questionnaire satisfaction, Document de fin</v>
      </c>
      <c r="F134" s="14">
        <f>APPRENANTS!V115</f>
        <v>0</v>
      </c>
      <c r="G134" s="6" t="str">
        <f>'WEDOF - EXAMEN FINAL'!M115</f>
        <v>CV, CIN, 6 dossiers admin, Convocation examen</v>
      </c>
      <c r="H134" s="6" t="str">
        <f>APPRENANTS!W115</f>
        <v>A RELANCER : Analyse du besoin, CV, Questionnaire/Test, Contrat, Convocation, Eval intermediaire, Eval finale, Questionnaire satisfaction, Document de fin</v>
      </c>
      <c r="I134" s="6" t="str">
        <f>APPRENANTS!X115</f>
        <v/>
      </c>
      <c r="J134" s="6" t="str">
        <f>'PAIEMENTS &amp; COMMISSIONS'!L115</f>
        <v>A venir</v>
      </c>
      <c r="K134" s="10" t="str">
        <f>APPRENANTS!Y115</f>
        <v>Oui</v>
      </c>
    </row>
    <row r="135" ht="15.0" customHeight="1">
      <c r="B135" s="6" t="str">
        <f>APPRENANTS!A116</f>
        <v>Proskills Institut</v>
      </c>
      <c r="C135" s="6" t="str">
        <f>APPRENANTS!B116</f>
        <v>BASCUNANA Jean-Christophe</v>
      </c>
      <c r="D135" s="6" t="str">
        <f>APPRENANTS!C116</f>
        <v/>
      </c>
      <c r="E135" s="6" t="str">
        <f>APPRENANTS!U116</f>
        <v>Analyse du besoin, CV, Questionnaire/Test, Contrat, Convocation, Eval intermediaire, Eval finale, Questionnaire satisfaction, Document de fin</v>
      </c>
      <c r="F135" s="14">
        <f>APPRENANTS!V116</f>
        <v>0</v>
      </c>
      <c r="G135" s="6" t="str">
        <f>'WEDOF - EXAMEN FINAL'!M116</f>
        <v>CV, 6 dossiers admin, Convocation examen</v>
      </c>
      <c r="H135" s="6" t="str">
        <f>APPRENANTS!W116</f>
        <v>A RELANCER : Analyse du besoin, CV, Questionnaire/Test, Contrat, Convocation, Eval intermediaire, Eval finale, Questionnaire satisfaction, Document de fin</v>
      </c>
      <c r="I135" s="6" t="str">
        <f>APPRENANTS!X116</f>
        <v/>
      </c>
      <c r="J135" s="6" t="str">
        <f>'PAIEMENTS &amp; COMMISSIONS'!L116</f>
        <v>A venir</v>
      </c>
      <c r="K135" s="10" t="str">
        <f>APPRENANTS!Y116</f>
        <v>Oui</v>
      </c>
    </row>
    <row r="136" ht="15.0" customHeight="1">
      <c r="B136" s="6" t="str">
        <f>APPRENANTS!A117</f>
        <v>Proskills Institut</v>
      </c>
      <c r="C136" s="6" t="str">
        <f>APPRENANTS!B117</f>
        <v>BASCUNANA Jean-Christophe</v>
      </c>
      <c r="D136" s="6" t="str">
        <f>APPRENANTS!C117</f>
        <v/>
      </c>
      <c r="E136" s="6" t="str">
        <f>APPRENANTS!U117</f>
        <v>Analyse du besoin, CV, Questionnaire/Test, Contrat, Convocation, Eval intermediaire, Eval finale, Questionnaire satisfaction, Document de fin</v>
      </c>
      <c r="F136" s="14">
        <f>APPRENANTS!V117</f>
        <v>0</v>
      </c>
      <c r="G136" s="6" t="str">
        <f>'WEDOF - EXAMEN FINAL'!M117</f>
        <v>CV, 6 dossiers admin, Convocation examen</v>
      </c>
      <c r="H136" s="6" t="str">
        <f>APPRENANTS!W117</f>
        <v>A RELANCER : Analyse du besoin, CV, Questionnaire/Test, Contrat, Convocation, Eval intermediaire, Eval finale, Questionnaire satisfaction, Document de fin</v>
      </c>
      <c r="I136" s="6" t="str">
        <f>APPRENANTS!X117</f>
        <v/>
      </c>
      <c r="J136" s="6" t="str">
        <f>'PAIEMENTS &amp; COMMISSIONS'!L117</f>
        <v>A venir</v>
      </c>
      <c r="K136" s="10" t="str">
        <f>APPRENANTS!Y117</f>
        <v>Oui</v>
      </c>
    </row>
    <row r="137" ht="15.0" customHeight="1">
      <c r="B137" s="6" t="str">
        <f>APPRENANTS!A118</f>
        <v>Proskills Institut</v>
      </c>
      <c r="C137" s="6" t="str">
        <f>APPRENANTS!B118</f>
        <v>BASCUNANA Jean-Christophe</v>
      </c>
      <c r="D137" s="6" t="str">
        <f>APPRENANTS!C118</f>
        <v/>
      </c>
      <c r="E137" s="6" t="str">
        <f>APPRENANTS!U118</f>
        <v>Analyse du besoin, CV, Questionnaire/Test, Contrat, Convocation, Eval intermediaire, Eval finale, Questionnaire satisfaction, Document de fin</v>
      </c>
      <c r="F137" s="14">
        <f>APPRENANTS!V118</f>
        <v>0</v>
      </c>
      <c r="G137" s="6" t="str">
        <f>'WEDOF - EXAMEN FINAL'!M118</f>
        <v>CV, 6 dossiers admin, Convocation examen</v>
      </c>
      <c r="H137" s="6" t="str">
        <f>APPRENANTS!W118</f>
        <v>A RELANCER : Analyse du besoin, CV, Questionnaire/Test, Contrat, Convocation, Eval intermediaire, Eval finale, Questionnaire satisfaction, Document de fin</v>
      </c>
      <c r="I137" s="6" t="str">
        <f>APPRENANTS!X118</f>
        <v/>
      </c>
      <c r="J137" s="6" t="str">
        <f>'PAIEMENTS &amp; COMMISSIONS'!L118</f>
        <v>A venir</v>
      </c>
      <c r="K137" s="10" t="str">
        <f>APPRENANTS!Y118</f>
        <v>Oui</v>
      </c>
    </row>
    <row r="138" ht="15.0" customHeight="1">
      <c r="B138" s="6" t="str">
        <f>APPRENANTS!A119</f>
        <v>Proskills Institut</v>
      </c>
      <c r="C138" s="6" t="str">
        <f>APPRENANTS!B119</f>
        <v>BUIDIN Michael</v>
      </c>
      <c r="D138" s="6" t="str">
        <f>APPRENANTS!C119</f>
        <v>frere karim</v>
      </c>
      <c r="E138" s="6" t="str">
        <f>APPRENANTS!U119</f>
        <v>Analyse du besoin, CV, Questionnaire/Test, Contrat, Convocation, Eval intermediaire, Eval finale, Questionnaire satisfaction, Document de fin</v>
      </c>
      <c r="F138" s="14">
        <f>APPRENANTS!V119</f>
        <v>0</v>
      </c>
      <c r="G138" s="6" t="str">
        <f>'WEDOF - EXAMEN FINAL'!M119</f>
        <v>CV, CIN, 6 dossiers admin, Convocation examen</v>
      </c>
      <c r="H138" s="6" t="str">
        <f>APPRENANTS!W119</f>
        <v>A RELANCER : Analyse du besoin, CV, Questionnaire/Test, Contrat, Convocation, Eval intermediaire, Eval finale, Questionnaire satisfaction, Document de fin</v>
      </c>
      <c r="I138" s="6" t="str">
        <f>APPRENANTS!X119</f>
        <v/>
      </c>
      <c r="J138" s="6" t="str">
        <f>'PAIEMENTS &amp; COMMISSIONS'!L119</f>
        <v>A venir</v>
      </c>
      <c r="K138" s="10" t="str">
        <f>APPRENANTS!Y119</f>
        <v>Oui</v>
      </c>
    </row>
    <row r="139" ht="15.0" customHeight="1">
      <c r="B139" s="6" t="str">
        <f>APPRENANTS!A120</f>
        <v>Proskills Institut</v>
      </c>
      <c r="C139" s="6" t="str">
        <f>APPRENANTS!B120</f>
        <v>BUIDIN Michael</v>
      </c>
      <c r="D139" s="6" t="str">
        <f>APPRENANTS!C120</f>
        <v>frere karim</v>
      </c>
      <c r="E139" s="6" t="str">
        <f>APPRENANTS!U120</f>
        <v>Analyse du besoin, CV, Questionnaire/Test, Contrat, Convocation, Eval intermediaire, Eval finale, Questionnaire satisfaction, Document de fin</v>
      </c>
      <c r="F139" s="14">
        <f>APPRENANTS!V120</f>
        <v>0</v>
      </c>
      <c r="G139" s="6" t="str">
        <f>'WEDOF - EXAMEN FINAL'!M120</f>
        <v>CV, CIN, 6 dossiers admin, Convocation examen</v>
      </c>
      <c r="H139" s="6" t="str">
        <f>APPRENANTS!W120</f>
        <v>A RELANCER : Analyse du besoin, CV, Questionnaire/Test, Contrat, Convocation, Eval intermediaire, Eval finale, Questionnaire satisfaction, Document de fin</v>
      </c>
      <c r="I139" s="6" t="str">
        <f>APPRENANTS!X120</f>
        <v/>
      </c>
      <c r="J139" s="6" t="str">
        <f>'PAIEMENTS &amp; COMMISSIONS'!L120</f>
        <v>A venir</v>
      </c>
      <c r="K139" s="10" t="str">
        <f>APPRENANTS!Y120</f>
        <v>Oui</v>
      </c>
    </row>
    <row r="140" ht="15.0" customHeight="1">
      <c r="B140" s="6" t="str">
        <f>APPRENANTS!A121</f>
        <v>Proskills Institut</v>
      </c>
      <c r="C140" s="6" t="str">
        <f>APPRENANTS!B121</f>
        <v>BUIDIN Michael</v>
      </c>
      <c r="D140" s="6" t="str">
        <f>APPRENANTS!C121</f>
        <v>frere karim</v>
      </c>
      <c r="E140" s="6" t="str">
        <f>APPRENANTS!U121</f>
        <v>Analyse du besoin, CV, Questionnaire/Test, Contrat, Convocation, Eval intermediaire, Eval finale, Questionnaire satisfaction, Document de fin</v>
      </c>
      <c r="F140" s="14">
        <f>APPRENANTS!V121</f>
        <v>0</v>
      </c>
      <c r="G140" s="6" t="str">
        <f>'WEDOF - EXAMEN FINAL'!M121</f>
        <v>CV, CIN, 6 dossiers admin, Convocation examen</v>
      </c>
      <c r="H140" s="6" t="str">
        <f>APPRENANTS!W121</f>
        <v>A RELANCER : Analyse du besoin, CV, Questionnaire/Test, Contrat, Convocation, Eval intermediaire, Eval finale, Questionnaire satisfaction, Document de fin</v>
      </c>
      <c r="I140" s="6" t="str">
        <f>APPRENANTS!X121</f>
        <v/>
      </c>
      <c r="J140" s="6" t="str">
        <f>'PAIEMENTS &amp; COMMISSIONS'!L121</f>
        <v>A venir</v>
      </c>
      <c r="K140" s="10" t="str">
        <f>APPRENANTS!Y121</f>
        <v>Oui</v>
      </c>
    </row>
    <row r="141" ht="15.0" customHeight="1">
      <c r="B141" s="6" t="str">
        <f>APPRENANTS!A122</f>
        <v>Proskills Institut</v>
      </c>
      <c r="C141" s="6" t="str">
        <f>APPRENANTS!B122</f>
        <v>JIMENEZ Joris</v>
      </c>
      <c r="D141" s="6" t="str">
        <f>APPRENANTS!C122</f>
        <v>frere karim</v>
      </c>
      <c r="E141" s="6" t="str">
        <f>APPRENANTS!U122</f>
        <v>Analyse du besoin, CV, Questionnaire/Test, Contrat, Convocation, Eval intermediaire, Eval finale, Questionnaire satisfaction, Document de fin</v>
      </c>
      <c r="F141" s="14">
        <f>APPRENANTS!V122</f>
        <v>0</v>
      </c>
      <c r="G141" s="6" t="str">
        <f>'WEDOF - EXAMEN FINAL'!M122</f>
        <v>CV, CIN, 6 dossiers admin, Convocation examen</v>
      </c>
      <c r="H141" s="6" t="str">
        <f>APPRENANTS!W122</f>
        <v>A RELANCER : Analyse du besoin, CV, Questionnaire/Test, Contrat, Convocation, Eval intermediaire, Eval finale, Questionnaire satisfaction, Document de fin</v>
      </c>
      <c r="I141" s="6" t="str">
        <f>APPRENANTS!X122</f>
        <v/>
      </c>
      <c r="J141" s="6" t="str">
        <f>'PAIEMENTS &amp; COMMISSIONS'!L122</f>
        <v>A venir</v>
      </c>
      <c r="K141" s="10" t="str">
        <f>APPRENANTS!Y122</f>
        <v>Oui</v>
      </c>
    </row>
    <row r="142" ht="15.0" customHeight="1">
      <c r="B142" s="6" t="str">
        <f>APPRENANTS!A123</f>
        <v>Proskills Institut</v>
      </c>
      <c r="C142" s="6" t="str">
        <f>APPRENANTS!B123</f>
        <v>JIMENEZ Joris</v>
      </c>
      <c r="D142" s="6" t="str">
        <f>APPRENANTS!C123</f>
        <v>frere karim</v>
      </c>
      <c r="E142" s="6" t="str">
        <f>APPRENANTS!U123</f>
        <v>Analyse du besoin, CV, Questionnaire/Test, Contrat, Convocation, Eval intermediaire, Eval finale, Questionnaire satisfaction, Document de fin</v>
      </c>
      <c r="F142" s="14">
        <f>APPRENANTS!V123</f>
        <v>0</v>
      </c>
      <c r="G142" s="6" t="str">
        <f>'WEDOF - EXAMEN FINAL'!M123</f>
        <v>CV, CIN, 6 dossiers admin, Convocation examen</v>
      </c>
      <c r="H142" s="6" t="str">
        <f>APPRENANTS!W123</f>
        <v>A RELANCER : Analyse du besoin, CV, Questionnaire/Test, Contrat, Convocation, Eval intermediaire, Eval finale, Questionnaire satisfaction, Document de fin</v>
      </c>
      <c r="I142" s="6" t="str">
        <f>APPRENANTS!X123</f>
        <v/>
      </c>
      <c r="J142" s="6" t="str">
        <f>'PAIEMENTS &amp; COMMISSIONS'!L123</f>
        <v>A venir</v>
      </c>
      <c r="K142" s="10" t="str">
        <f>APPRENANTS!Y123</f>
        <v>Oui</v>
      </c>
    </row>
    <row r="143" ht="15.0" customHeight="1">
      <c r="B143" s="6" t="str">
        <f>APPRENANTS!A124</f>
        <v>Proskills Institut</v>
      </c>
      <c r="C143" s="6" t="str">
        <f>APPRENANTS!B124</f>
        <v>MERAH Sarah</v>
      </c>
      <c r="D143" s="6" t="str">
        <f>APPRENANTS!C124</f>
        <v>Jean</v>
      </c>
      <c r="E143" s="6" t="str">
        <f>APPRENANTS!U124</f>
        <v>Analyse du besoin, CV, Questionnaire/Test, Contrat, Convocation, Eval intermediaire, Eval finale, Questionnaire satisfaction, Document de fin</v>
      </c>
      <c r="F143" s="14">
        <f>APPRENANTS!V124</f>
        <v>0</v>
      </c>
      <c r="G143" s="6" t="str">
        <f>'WEDOF - EXAMEN FINAL'!M124</f>
        <v>CV, CIN, 6 dossiers admin, Convocation examen</v>
      </c>
      <c r="H143" s="6" t="str">
        <f>APPRENANTS!W124</f>
        <v>A RELANCER : Analyse du besoin, CV, Questionnaire/Test, Contrat, Convocation, Eval intermediaire, Eval finale, Questionnaire satisfaction, Document de fin</v>
      </c>
      <c r="I143" s="6" t="str">
        <f>APPRENANTS!X124</f>
        <v/>
      </c>
      <c r="J143" s="6" t="str">
        <f>'PAIEMENTS &amp; COMMISSIONS'!L124</f>
        <v>A venir</v>
      </c>
      <c r="K143" s="10" t="str">
        <f>APPRENANTS!Y124</f>
        <v>Oui</v>
      </c>
    </row>
    <row r="144" ht="15.0" customHeight="1">
      <c r="B144" s="6" t="str">
        <f>APPRENANTS!A125</f>
        <v>Proskills Institut</v>
      </c>
      <c r="C144" s="6" t="str">
        <f>APPRENANTS!B125</f>
        <v>TORRES Aurore</v>
      </c>
      <c r="D144" s="6" t="str">
        <f>APPRENANTS!C125</f>
        <v>GRAS</v>
      </c>
      <c r="E144" s="6" t="str">
        <f>APPRENANTS!U125</f>
        <v>Analyse du besoin, CV, Questionnaire/Test, Contrat, Convocation, Eval intermediaire, Eval finale, Questionnaire satisfaction, Document de fin</v>
      </c>
      <c r="F144" s="14">
        <f>APPRENANTS!V125</f>
        <v>0</v>
      </c>
      <c r="G144" s="6" t="str">
        <f>'WEDOF - EXAMEN FINAL'!M125</f>
        <v>CV, CIN, 6 dossiers admin, Convocation examen</v>
      </c>
      <c r="H144" s="6" t="str">
        <f>APPRENANTS!W125</f>
        <v>A RELANCER : Analyse du besoin, CV, Questionnaire/Test, Contrat, Convocation, Eval intermediaire, Eval finale, Questionnaire satisfaction, Document de fin</v>
      </c>
      <c r="I144" s="6" t="str">
        <f>APPRENANTS!X125</f>
        <v/>
      </c>
      <c r="J144" s="6" t="str">
        <f>'PAIEMENTS &amp; COMMISSIONS'!L125</f>
        <v>A venir</v>
      </c>
      <c r="K144" s="10" t="str">
        <f>APPRENANTS!Y125</f>
        <v>Oui</v>
      </c>
    </row>
    <row r="145" ht="15.0" customHeight="1">
      <c r="B145" s="6" t="str">
        <f>APPRENANTS!A126</f>
        <v>Proskills Institut</v>
      </c>
      <c r="C145" s="6" t="str">
        <f>APPRENANTS!B126</f>
        <v>MAKHLOUF Ahmed</v>
      </c>
      <c r="D145" s="6" t="str">
        <f>APPRENANTS!C126</f>
        <v>Sabri</v>
      </c>
      <c r="E145" s="6" t="str">
        <f>APPRENANTS!U126</f>
        <v>Analyse du besoin, CV, Questionnaire/Test, Contrat, Convocation, Eval intermediaire, Eval finale, Questionnaire satisfaction, Document de fin</v>
      </c>
      <c r="F145" s="14">
        <f>APPRENANTS!V126</f>
        <v>0</v>
      </c>
      <c r="G145" s="6" t="str">
        <f>'WEDOF - EXAMEN FINAL'!M126</f>
        <v>CV, CIN, 6 dossiers admin, Convocation examen</v>
      </c>
      <c r="H145" s="6" t="str">
        <f>APPRENANTS!W126</f>
        <v>A RELANCER : Analyse du besoin, CV, Questionnaire/Test, Contrat, Convocation, Eval intermediaire, Eval finale, Questionnaire satisfaction, Document de fin</v>
      </c>
      <c r="I145" s="6" t="str">
        <f>APPRENANTS!X126</f>
        <v/>
      </c>
      <c r="J145" s="6" t="str">
        <f>'PAIEMENTS &amp; COMMISSIONS'!L126</f>
        <v>A venir</v>
      </c>
      <c r="K145" s="10" t="str">
        <f>APPRENANTS!Y126</f>
        <v>Oui</v>
      </c>
    </row>
    <row r="146" ht="15.0" customHeight="1">
      <c r="B146" s="6" t="str">
        <f>APPRENANTS!A127</f>
        <v>Proskills Institut</v>
      </c>
      <c r="C146" s="6" t="str">
        <f>APPRENANTS!B127</f>
        <v>MAKHLOUF Ahmed</v>
      </c>
      <c r="D146" s="6" t="str">
        <f>APPRENANTS!C127</f>
        <v>Sabri</v>
      </c>
      <c r="E146" s="6" t="str">
        <f>APPRENANTS!U127</f>
        <v>Analyse du besoin, CV, Questionnaire/Test, Contrat, Convocation, Eval intermediaire, Eval finale, Questionnaire satisfaction, Document de fin</v>
      </c>
      <c r="F146" s="14">
        <f>APPRENANTS!V127</f>
        <v>0</v>
      </c>
      <c r="G146" s="6" t="str">
        <f>'WEDOF - EXAMEN FINAL'!M127</f>
        <v>CV, CIN, 6 dossiers admin, Convocation examen</v>
      </c>
      <c r="H146" s="6" t="str">
        <f>APPRENANTS!W127</f>
        <v>A RELANCER : Analyse du besoin, CV, Questionnaire/Test, Contrat, Convocation, Eval intermediaire, Eval finale, Questionnaire satisfaction, Document de fin</v>
      </c>
      <c r="I146" s="6" t="str">
        <f>APPRENANTS!X127</f>
        <v/>
      </c>
      <c r="J146" s="6" t="str">
        <f>'PAIEMENTS &amp; COMMISSIONS'!L127</f>
        <v>A venir</v>
      </c>
      <c r="K146" s="10" t="str">
        <f>APPRENANTS!Y127</f>
        <v>Oui</v>
      </c>
    </row>
    <row r="147" ht="15.0" customHeight="1">
      <c r="B147" s="6" t="str">
        <f>APPRENANTS!A128</f>
        <v>Proskills Institut</v>
      </c>
      <c r="C147" s="6" t="str">
        <f>APPRENANTS!B128</f>
        <v>MAKHLOUF Ahmed</v>
      </c>
      <c r="D147" s="6" t="str">
        <f>APPRENANTS!C128</f>
        <v>Sabri</v>
      </c>
      <c r="E147" s="6" t="str">
        <f>APPRENANTS!U128</f>
        <v>Analyse du besoin, CV, Questionnaire/Test, Contrat, Convocation, Eval intermediaire, Eval finale, Questionnaire satisfaction, Document de fin</v>
      </c>
      <c r="F147" s="14">
        <f>APPRENANTS!V128</f>
        <v>0</v>
      </c>
      <c r="G147" s="6" t="str">
        <f>'WEDOF - EXAMEN FINAL'!M128</f>
        <v>CV, CIN, 6 dossiers admin, Convocation examen</v>
      </c>
      <c r="H147" s="6" t="str">
        <f>APPRENANTS!W128</f>
        <v>A RELANCER : Analyse du besoin, CV, Questionnaire/Test, Contrat, Convocation, Eval intermediaire, Eval finale, Questionnaire satisfaction, Document de fin</v>
      </c>
      <c r="I147" s="6" t="str">
        <f>APPRENANTS!X128</f>
        <v/>
      </c>
      <c r="J147" s="6" t="str">
        <f>'PAIEMENTS &amp; COMMISSIONS'!L128</f>
        <v>A venir</v>
      </c>
      <c r="K147" s="10" t="str">
        <f>APPRENANTS!Y128</f>
        <v>Oui</v>
      </c>
    </row>
    <row r="148" ht="15.0" customHeight="1">
      <c r="B148" s="6" t="str">
        <f>APPRENANTS!A129</f>
        <v>Proskills Institut</v>
      </c>
      <c r="C148" s="6" t="str">
        <f>APPRENANTS!B129</f>
        <v>BOUMEZIOUD Nassim</v>
      </c>
      <c r="D148" s="6" t="str">
        <f>APPRENANTS!C129</f>
        <v>Sabri</v>
      </c>
      <c r="E148" s="6" t="str">
        <f>APPRENANTS!U129</f>
        <v>Analyse du besoin, CV, Questionnaire/Test, Contrat, Convocation, Eval intermediaire, Eval finale, Questionnaire satisfaction, Document de fin</v>
      </c>
      <c r="F148" s="14">
        <f>APPRENANTS!V129</f>
        <v>0</v>
      </c>
      <c r="G148" s="6" t="str">
        <f>'WEDOF - EXAMEN FINAL'!M129</f>
        <v>CV, CIN, 6 dossiers admin, Convocation examen</v>
      </c>
      <c r="H148" s="6" t="str">
        <f>APPRENANTS!W129</f>
        <v>A RELANCER : Analyse du besoin, CV, Questionnaire/Test, Contrat, Convocation, Eval intermediaire, Eval finale, Questionnaire satisfaction, Document de fin</v>
      </c>
      <c r="I148" s="6" t="str">
        <f>APPRENANTS!X129</f>
        <v/>
      </c>
      <c r="J148" s="6" t="str">
        <f>'PAIEMENTS &amp; COMMISSIONS'!L129</f>
        <v>A venir</v>
      </c>
      <c r="K148" s="10" t="str">
        <f>APPRENANTS!Y129</f>
        <v>Oui</v>
      </c>
    </row>
    <row r="149" ht="15.0" customHeight="1">
      <c r="B149" s="6" t="str">
        <f>APPRENANTS!A130</f>
        <v>Proskills Institut</v>
      </c>
      <c r="C149" s="6" t="str">
        <f>APPRENANTS!B130</f>
        <v>BOUMEZIOUD Nassim</v>
      </c>
      <c r="D149" s="6" t="str">
        <f>APPRENANTS!C130</f>
        <v>Sabri</v>
      </c>
      <c r="E149" s="6" t="str">
        <f>APPRENANTS!U130</f>
        <v>Analyse du besoin, CV, Questionnaire/Test, Contrat, Convocation, Eval intermediaire, Eval finale, Questionnaire satisfaction, Document de fin</v>
      </c>
      <c r="F149" s="14">
        <f>APPRENANTS!V130</f>
        <v>0</v>
      </c>
      <c r="G149" s="6" t="str">
        <f>'WEDOF - EXAMEN FINAL'!M130</f>
        <v>CV, CIN, 6 dossiers admin, Convocation examen</v>
      </c>
      <c r="H149" s="6" t="str">
        <f>APPRENANTS!W130</f>
        <v>A RELANCER : Analyse du besoin, CV, Questionnaire/Test, Contrat, Convocation, Eval intermediaire, Eval finale, Questionnaire satisfaction, Document de fin</v>
      </c>
      <c r="I149" s="6" t="str">
        <f>APPRENANTS!X130</f>
        <v/>
      </c>
      <c r="J149" s="6" t="str">
        <f>'PAIEMENTS &amp; COMMISSIONS'!L130</f>
        <v>A venir</v>
      </c>
      <c r="K149" s="10" t="str">
        <f>APPRENANTS!Y130</f>
        <v>Oui</v>
      </c>
    </row>
    <row r="150" ht="15.0" customHeight="1">
      <c r="B150" s="6" t="str">
        <f>APPRENANTS!A131</f>
        <v>Proskills Institut</v>
      </c>
      <c r="C150" s="6" t="str">
        <f>APPRENANTS!B131</f>
        <v>ESPINEIRA Bryan</v>
      </c>
      <c r="D150" s="6" t="str">
        <f>APPRENANTS!C131</f>
        <v>Djody</v>
      </c>
      <c r="E150" s="6" t="str">
        <f>APPRENANTS!U131</f>
        <v>Analyse du besoin, CV, Questionnaire/Test, Contrat, Convocation, Eval intermediaire, Eval finale, Questionnaire satisfaction, Document de fin</v>
      </c>
      <c r="F150" s="14">
        <f>APPRENANTS!V131</f>
        <v>0</v>
      </c>
      <c r="G150" s="6" t="str">
        <f>'WEDOF - EXAMEN FINAL'!M131</f>
        <v>CV, CIN, 6 dossiers admin, Convocation examen</v>
      </c>
      <c r="H150" s="6" t="str">
        <f>APPRENANTS!W131</f>
        <v>A RELANCER : Analyse du besoin, CV, Questionnaire/Test, Contrat, Convocation, Eval intermediaire, Eval finale, Questionnaire satisfaction, Document de fin</v>
      </c>
      <c r="I150" s="6" t="str">
        <f>APPRENANTS!X131</f>
        <v/>
      </c>
      <c r="J150" s="6" t="str">
        <f>'PAIEMENTS &amp; COMMISSIONS'!L131</f>
        <v>A venir</v>
      </c>
      <c r="K150" s="10" t="str">
        <f>APPRENANTS!Y131</f>
        <v>Oui</v>
      </c>
    </row>
    <row r="151" ht="15.0" customHeight="1">
      <c r="B151" s="6" t="str">
        <f>APPRENANTS!A132</f>
        <v>Proskills Institut</v>
      </c>
      <c r="C151" s="6" t="str">
        <f>APPRENANTS!B132</f>
        <v>EL ARBAOUI Salwa</v>
      </c>
      <c r="D151" s="6" t="str">
        <f>APPRENANTS!C132</f>
        <v>Djody</v>
      </c>
      <c r="E151" s="6" t="str">
        <f>APPRENANTS!U132</f>
        <v>Analyse du besoin, CV, Questionnaire/Test, Contrat, Convocation, Eval intermediaire, Eval finale, Questionnaire satisfaction, Document de fin</v>
      </c>
      <c r="F151" s="14">
        <f>APPRENANTS!V132</f>
        <v>0</v>
      </c>
      <c r="G151" s="6" t="str">
        <f>'WEDOF - EXAMEN FINAL'!M132</f>
        <v>CV, CIN, 6 dossiers admin, Convocation examen</v>
      </c>
      <c r="H151" s="6" t="str">
        <f>APPRENANTS!W132</f>
        <v/>
      </c>
      <c r="I151" s="6" t="str">
        <f>APPRENANTS!X132</f>
        <v/>
      </c>
      <c r="J151" s="6" t="str">
        <f>'PAIEMENTS &amp; COMMISSIONS'!L132</f>
        <v>A venir</v>
      </c>
      <c r="K151" s="10" t="str">
        <f>APPRENANTS!Y132</f>
        <v>Oui</v>
      </c>
    </row>
    <row r="152" ht="15.0" customHeight="1">
      <c r="B152" s="6" t="str">
        <f>APPRENANTS!A133</f>
        <v>Proskills Institut</v>
      </c>
      <c r="C152" s="6" t="str">
        <f>APPRENANTS!B133</f>
        <v>MAECHA Ismail</v>
      </c>
      <c r="D152" s="6" t="str">
        <f>APPRENANTS!C133</f>
        <v>Sabri</v>
      </c>
      <c r="E152" s="6" t="str">
        <f>APPRENANTS!U133</f>
        <v>Analyse du besoin, CV, Questionnaire/Test, Contrat, Convocation, Eval intermediaire, Eval finale, Questionnaire satisfaction, Document de fin</v>
      </c>
      <c r="F152" s="14">
        <f>APPRENANTS!V133</f>
        <v>0</v>
      </c>
      <c r="G152" s="6" t="str">
        <f>'WEDOF - EXAMEN FINAL'!M133</f>
        <v>CV, CIN, 6 dossiers admin, Convocation examen</v>
      </c>
      <c r="H152" s="6" t="str">
        <f>APPRENANTS!W133</f>
        <v/>
      </c>
      <c r="I152" s="6" t="str">
        <f>APPRENANTS!X133</f>
        <v/>
      </c>
      <c r="J152" s="6" t="str">
        <f>'PAIEMENTS &amp; COMMISSIONS'!L133</f>
        <v>A venir</v>
      </c>
      <c r="K152" s="10" t="str">
        <f>APPRENANTS!Y133</f>
        <v>Oui</v>
      </c>
    </row>
    <row r="153" ht="15.0" customHeight="1">
      <c r="B153" s="6" t="str">
        <f>APPRENANTS!A134</f>
        <v>Proskills Institut</v>
      </c>
      <c r="C153" s="6" t="str">
        <f>APPRENANTS!B134</f>
        <v>MAECHA Ismail</v>
      </c>
      <c r="D153" s="6" t="str">
        <f>APPRENANTS!C134</f>
        <v>Sabri</v>
      </c>
      <c r="E153" s="6" t="str">
        <f>APPRENANTS!U134</f>
        <v>Analyse du besoin, CV, Questionnaire/Test, Contrat, Convocation, Eval intermediaire, Eval finale, Questionnaire satisfaction, Document de fin</v>
      </c>
      <c r="F153" s="14">
        <f>APPRENANTS!V134</f>
        <v>0</v>
      </c>
      <c r="G153" s="6" t="str">
        <f>'WEDOF - EXAMEN FINAL'!M134</f>
        <v>CV, CIN, 6 dossiers admin, Convocation examen</v>
      </c>
      <c r="H153" s="6" t="str">
        <f>APPRENANTS!W134</f>
        <v/>
      </c>
      <c r="I153" s="6" t="str">
        <f>APPRENANTS!X134</f>
        <v/>
      </c>
      <c r="J153" s="6" t="str">
        <f>'PAIEMENTS &amp; COMMISSIONS'!L134</f>
        <v>A venir</v>
      </c>
      <c r="K153" s="10" t="str">
        <f>APPRENANTS!Y134</f>
        <v>Oui</v>
      </c>
    </row>
    <row r="154" ht="15.0" customHeight="1">
      <c r="B154" s="6" t="str">
        <f>APPRENANTS!A135</f>
        <v>Proskills Institut</v>
      </c>
      <c r="C154" s="6" t="str">
        <f>APPRENANTS!B135</f>
        <v>VARDANYAN Irina</v>
      </c>
      <c r="D154" s="6" t="str">
        <f>APPRENANTS!C135</f>
        <v>Sabri</v>
      </c>
      <c r="E154" s="6" t="str">
        <f>APPRENANTS!U135</f>
        <v>Analyse du besoin, CV, Questionnaire/Test, Contrat, Convocation, Eval intermediaire, Eval finale, Questionnaire satisfaction, Document de fin</v>
      </c>
      <c r="F154" s="14">
        <f>APPRENANTS!V135</f>
        <v>0</v>
      </c>
      <c r="G154" s="6" t="str">
        <f>'WEDOF - EXAMEN FINAL'!M135</f>
        <v>CV, CIN, 6 dossiers admin, Convocation examen</v>
      </c>
      <c r="H154" s="6" t="str">
        <f>APPRENANTS!W135</f>
        <v/>
      </c>
      <c r="I154" s="6" t="str">
        <f>APPRENANTS!X135</f>
        <v/>
      </c>
      <c r="J154" s="6" t="str">
        <f>'PAIEMENTS &amp; COMMISSIONS'!L135</f>
        <v>A venir</v>
      </c>
      <c r="K154" s="10" t="str">
        <f>APPRENANTS!Y135</f>
        <v>Oui</v>
      </c>
    </row>
    <row r="155" ht="15.0" customHeight="1">
      <c r="B155" s="6" t="str">
        <f>APPRENANTS!A136</f>
        <v>Proskills Institut</v>
      </c>
      <c r="C155" s="6" t="str">
        <f>APPRENANTS!B136</f>
        <v>VARDANYAN Irina</v>
      </c>
      <c r="D155" s="6" t="str">
        <f>APPRENANTS!C136</f>
        <v>Sabri</v>
      </c>
      <c r="E155" s="6" t="str">
        <f>APPRENANTS!U136</f>
        <v>Analyse du besoin, CV, Questionnaire/Test, Contrat, Convocation, Eval intermediaire, Eval finale, Questionnaire satisfaction, Document de fin</v>
      </c>
      <c r="F155" s="14">
        <f>APPRENANTS!V136</f>
        <v>0</v>
      </c>
      <c r="G155" s="6" t="str">
        <f>'WEDOF - EXAMEN FINAL'!M136</f>
        <v>CV, CIN, 6 dossiers admin, Convocation examen</v>
      </c>
      <c r="H155" s="6" t="str">
        <f>APPRENANTS!W136</f>
        <v/>
      </c>
      <c r="I155" s="6" t="str">
        <f>APPRENANTS!X136</f>
        <v/>
      </c>
      <c r="J155" s="6" t="str">
        <f>'PAIEMENTS &amp; COMMISSIONS'!L136</f>
        <v>A venir</v>
      </c>
      <c r="K155" s="10" t="str">
        <f>APPRENANTS!Y136</f>
        <v>Oui</v>
      </c>
    </row>
    <row r="156" ht="15.0" customHeight="1">
      <c r="B156" s="6" t="str">
        <f>APPRENANTS!A137</f>
        <v>Proskills Institut</v>
      </c>
      <c r="C156" s="6" t="str">
        <f>APPRENANTS!B137</f>
        <v>BIANCO Sebastien</v>
      </c>
      <c r="D156" s="6" t="str">
        <f>APPRENANTS!C137</f>
        <v>Djody</v>
      </c>
      <c r="E156" s="6" t="str">
        <f>APPRENANTS!U137</f>
        <v>Analyse du besoin, CV, Questionnaire/Test, Contrat, Convocation, Eval intermediaire, Eval finale, Questionnaire satisfaction, Document de fin</v>
      </c>
      <c r="F156" s="14">
        <f>APPRENANTS!V137</f>
        <v>0</v>
      </c>
      <c r="G156" s="6" t="str">
        <f>'WEDOF - EXAMEN FINAL'!M137</f>
        <v>CV, CIN, 6 dossiers admin, Convocation examen</v>
      </c>
      <c r="H156" s="6" t="str">
        <f>APPRENANTS!W137</f>
        <v/>
      </c>
      <c r="I156" s="6" t="str">
        <f>APPRENANTS!X137</f>
        <v/>
      </c>
      <c r="J156" s="6" t="str">
        <f>'PAIEMENTS &amp; COMMISSIONS'!L137</f>
        <v/>
      </c>
      <c r="K156" s="10" t="str">
        <f>APPRENANTS!Y137</f>
        <v>Oui</v>
      </c>
    </row>
    <row r="157" ht="15.0" customHeight="1">
      <c r="B157" s="6" t="str">
        <f>APPRENANTS!A138</f>
        <v>Proskills Institut</v>
      </c>
      <c r="C157" s="6" t="str">
        <f>APPRENANTS!B138</f>
        <v>BIANCO Sebastien</v>
      </c>
      <c r="D157" s="6" t="str">
        <f>APPRENANTS!C138</f>
        <v>Djody</v>
      </c>
      <c r="E157" s="6" t="str">
        <f>APPRENANTS!U138</f>
        <v>Analyse du besoin, CV, Questionnaire/Test, Contrat, Convocation, Eval intermediaire, Eval finale, Questionnaire satisfaction, Document de fin</v>
      </c>
      <c r="F157" s="14">
        <f>APPRENANTS!V138</f>
        <v>0</v>
      </c>
      <c r="G157" s="6" t="str">
        <f>'WEDOF - EXAMEN FINAL'!M138</f>
        <v>CV, CIN, 6 dossiers admin, Convocation examen</v>
      </c>
      <c r="H157" s="6" t="str">
        <f>APPRENANTS!W138</f>
        <v/>
      </c>
      <c r="I157" s="6" t="str">
        <f>APPRENANTS!X138</f>
        <v/>
      </c>
      <c r="J157" s="6" t="str">
        <f>'PAIEMENTS &amp; COMMISSIONS'!L138</f>
        <v/>
      </c>
      <c r="K157" s="10" t="str">
        <f>APPRENANTS!Y138</f>
        <v>Oui</v>
      </c>
    </row>
    <row r="158" ht="15.0" customHeight="1">
      <c r="B158" s="6" t="str">
        <f>APPRENANTS!A139</f>
        <v>Proskills Institut</v>
      </c>
      <c r="C158" s="6" t="str">
        <f>APPRENANTS!B139</f>
        <v>BIANCO Sebastien</v>
      </c>
      <c r="D158" s="6" t="str">
        <f>APPRENANTS!C139</f>
        <v>Djody</v>
      </c>
      <c r="E158" s="6" t="str">
        <f>APPRENANTS!U139</f>
        <v>Analyse du besoin, CV, Questionnaire/Test, Contrat, Convocation, Eval intermediaire, Eval finale, Questionnaire satisfaction, Document de fin</v>
      </c>
      <c r="F158" s="14">
        <f>APPRENANTS!V139</f>
        <v>0</v>
      </c>
      <c r="G158" s="6" t="str">
        <f>'WEDOF - EXAMEN FINAL'!M139</f>
        <v>CV, CIN, 6 dossiers admin, Convocation examen</v>
      </c>
      <c r="H158" s="6" t="str">
        <f>APPRENANTS!W139</f>
        <v/>
      </c>
      <c r="I158" s="6" t="str">
        <f>APPRENANTS!X139</f>
        <v/>
      </c>
      <c r="J158" s="6" t="str">
        <f>'PAIEMENTS &amp; COMMISSIONS'!L139</f>
        <v/>
      </c>
      <c r="K158" s="10" t="str">
        <f>APPRENANTS!Y139</f>
        <v>Oui</v>
      </c>
    </row>
    <row r="159" ht="15.0" customHeight="1">
      <c r="B159" s="6" t="str">
        <f>APPRENANTS!A140</f>
        <v>Proskills Institut</v>
      </c>
      <c r="C159" s="6" t="str">
        <f>APPRENANTS!B140</f>
        <v>FRANGIAN David</v>
      </c>
      <c r="D159" s="6" t="str">
        <f>APPRENANTS!C140</f>
        <v>Sabri</v>
      </c>
      <c r="E159" s="6" t="str">
        <f>APPRENANTS!U140</f>
        <v>Analyse du besoin, CV, Questionnaire/Test, Contrat, Convocation, Eval intermediaire, Eval finale, Questionnaire satisfaction, Document de fin</v>
      </c>
      <c r="F159" s="14">
        <f>APPRENANTS!V140</f>
        <v>0</v>
      </c>
      <c r="G159" s="6" t="str">
        <f>'WEDOF - EXAMEN FINAL'!M140</f>
        <v>CV, CIN, 6 dossiers admin, Convocation examen</v>
      </c>
      <c r="H159" s="6" t="str">
        <f>APPRENANTS!W140</f>
        <v/>
      </c>
      <c r="I159" s="6" t="str">
        <f>APPRENANTS!X140</f>
        <v/>
      </c>
      <c r="J159" s="6" t="str">
        <f>'PAIEMENTS &amp; COMMISSIONS'!L140</f>
        <v/>
      </c>
      <c r="K159" s="10" t="str">
        <f>APPRENANTS!Y140</f>
        <v>Oui</v>
      </c>
    </row>
    <row r="160" ht="15.0" customHeight="1">
      <c r="B160" s="6" t="str">
        <f>APPRENANTS!A141</f>
        <v>Proskills Institut</v>
      </c>
      <c r="C160" s="6" t="str">
        <f>APPRENANTS!B141</f>
        <v>BOGGIO Issan</v>
      </c>
      <c r="D160" s="6" t="str">
        <f>APPRENANTS!C141</f>
        <v>Sabri</v>
      </c>
      <c r="E160" s="6" t="str">
        <f>APPRENANTS!U141</f>
        <v>Analyse du besoin, CV, Questionnaire/Test, Contrat, Convocation, Eval intermediaire, Eval finale, Questionnaire satisfaction, Document de fin</v>
      </c>
      <c r="F160" s="14">
        <f>APPRENANTS!V141</f>
        <v>0</v>
      </c>
      <c r="G160" s="6" t="str">
        <f>'WEDOF - EXAMEN FINAL'!M141</f>
        <v>CV, CIN, 6 dossiers admin, Convocation examen</v>
      </c>
      <c r="H160" s="6" t="str">
        <f>APPRENANTS!W141</f>
        <v/>
      </c>
      <c r="I160" s="6" t="str">
        <f>APPRENANTS!X141</f>
        <v/>
      </c>
      <c r="J160" s="6" t="str">
        <f>'PAIEMENTS &amp; COMMISSIONS'!L141</f>
        <v>A venir</v>
      </c>
      <c r="K160" s="10" t="str">
        <f>APPRENANTS!Y141</f>
        <v>Oui</v>
      </c>
    </row>
    <row r="161" ht="15.0" customHeight="1">
      <c r="B161" s="6" t="str">
        <f>APPRENANTS!A142</f>
        <v>Proskills Institut</v>
      </c>
      <c r="C161" s="6" t="str">
        <f>APPRENANTS!B142</f>
        <v>BOGGIO Issan</v>
      </c>
      <c r="D161" s="6" t="str">
        <f>APPRENANTS!C142</f>
        <v>Sabri</v>
      </c>
      <c r="E161" s="6" t="str">
        <f>APPRENANTS!U142</f>
        <v>Analyse du besoin, CV, Questionnaire/Test, Contrat, Convocation, Eval intermediaire, Eval finale, Questionnaire satisfaction, Document de fin</v>
      </c>
      <c r="F161" s="14">
        <f>APPRENANTS!V142</f>
        <v>0</v>
      </c>
      <c r="G161" s="6" t="str">
        <f>'WEDOF - EXAMEN FINAL'!M142</f>
        <v>CV, CIN, 6 dossiers admin, Convocation examen</v>
      </c>
      <c r="H161" s="6" t="str">
        <f>APPRENANTS!W142</f>
        <v/>
      </c>
      <c r="I161" s="6" t="str">
        <f>APPRENANTS!X142</f>
        <v/>
      </c>
      <c r="J161" s="6" t="str">
        <f>'PAIEMENTS &amp; COMMISSIONS'!L142</f>
        <v>A venir</v>
      </c>
      <c r="K161" s="10" t="str">
        <f>APPRENANTS!Y142</f>
        <v>Oui</v>
      </c>
    </row>
    <row r="162" ht="15.0" customHeight="1">
      <c r="B162" s="6" t="str">
        <f>APPRENANTS!A143</f>
        <v>Proskills Institut</v>
      </c>
      <c r="C162" s="6" t="str">
        <f>APPRENANTS!B143</f>
        <v>BOGGIO Issan</v>
      </c>
      <c r="D162" s="6" t="str">
        <f>APPRENANTS!C143</f>
        <v>Sabri</v>
      </c>
      <c r="E162" s="6" t="str">
        <f>APPRENANTS!U143</f>
        <v>Analyse du besoin, CV, Questionnaire/Test, Contrat, Convocation, Eval intermediaire, Eval finale, Questionnaire satisfaction, Document de fin</v>
      </c>
      <c r="F162" s="14">
        <f>APPRENANTS!V143</f>
        <v>0</v>
      </c>
      <c r="G162" s="6" t="str">
        <f>'WEDOF - EXAMEN FINAL'!M143</f>
        <v>CV, CIN, 6 dossiers admin, Convocation examen</v>
      </c>
      <c r="H162" s="6" t="str">
        <f>APPRENANTS!W143</f>
        <v/>
      </c>
      <c r="I162" s="6" t="str">
        <f>APPRENANTS!X143</f>
        <v/>
      </c>
      <c r="J162" s="6" t="str">
        <f>'PAIEMENTS &amp; COMMISSIONS'!L143</f>
        <v>A venir</v>
      </c>
      <c r="K162" s="10" t="str">
        <f>APPRENANTS!Y143</f>
        <v>Oui</v>
      </c>
    </row>
    <row r="163" ht="15.0" customHeight="1">
      <c r="B163" s="6" t="str">
        <f>APPRENANTS!A144</f>
        <v>Proskills Institut</v>
      </c>
      <c r="C163" s="6" t="str">
        <f>APPRENANTS!B144</f>
        <v>ARGOUBI Mohamed-Salah</v>
      </c>
      <c r="D163" s="6" t="str">
        <f>APPRENANTS!C144</f>
        <v>Sabri</v>
      </c>
      <c r="E163" s="6" t="str">
        <f>APPRENANTS!U144</f>
        <v>Analyse du besoin, CV, Questionnaire/Test, Contrat, Convocation, Eval intermediaire, Eval finale, Questionnaire satisfaction, Document de fin</v>
      </c>
      <c r="F163" s="14">
        <f>APPRENANTS!V144</f>
        <v>0</v>
      </c>
      <c r="G163" s="6" t="str">
        <f>'WEDOF - EXAMEN FINAL'!M144</f>
        <v>CV, CIN, 6 dossiers admin, Convocation examen</v>
      </c>
      <c r="H163" s="6" t="str">
        <f>APPRENANTS!W144</f>
        <v/>
      </c>
      <c r="I163" s="6" t="str">
        <f>APPRENANTS!X144</f>
        <v/>
      </c>
      <c r="J163" s="6" t="str">
        <f>'PAIEMENTS &amp; COMMISSIONS'!L144</f>
        <v>A venir</v>
      </c>
      <c r="K163" s="10" t="str">
        <f>APPRENANTS!Y144</f>
        <v>Oui</v>
      </c>
    </row>
    <row r="164" ht="15.0" customHeight="1">
      <c r="B164" s="6" t="str">
        <f>APPRENANTS!A145</f>
        <v>Proskills Institut</v>
      </c>
      <c r="C164" s="6" t="str">
        <f>APPRENANTS!B145</f>
        <v>ARGOUBI Mohamed-Salah</v>
      </c>
      <c r="D164" s="6" t="str">
        <f>APPRENANTS!C145</f>
        <v>Sabri</v>
      </c>
      <c r="E164" s="6" t="str">
        <f>APPRENANTS!U145</f>
        <v>Analyse du besoin, CV, Questionnaire/Test, Contrat, Convocation, Eval intermediaire, Eval finale, Questionnaire satisfaction, Document de fin</v>
      </c>
      <c r="F164" s="14">
        <f>APPRENANTS!V145</f>
        <v>0</v>
      </c>
      <c r="G164" s="6" t="str">
        <f>'WEDOF - EXAMEN FINAL'!M145</f>
        <v>CV, CIN, 6 dossiers admin, Convocation examen</v>
      </c>
      <c r="H164" s="6" t="str">
        <f>APPRENANTS!W145</f>
        <v/>
      </c>
      <c r="I164" s="6" t="str">
        <f>APPRENANTS!X145</f>
        <v/>
      </c>
      <c r="J164" s="6" t="str">
        <f>'PAIEMENTS &amp; COMMISSIONS'!L145</f>
        <v>A venir</v>
      </c>
      <c r="K164" s="10" t="str">
        <f>APPRENANTS!Y145</f>
        <v>Oui</v>
      </c>
    </row>
    <row r="165" ht="15.0" customHeight="1">
      <c r="B165" s="6" t="str">
        <f>APPRENANTS!A146</f>
        <v>Proskills Institut</v>
      </c>
      <c r="C165" s="6" t="str">
        <f>APPRENANTS!B146</f>
        <v>CHAOUCH Nabil</v>
      </c>
      <c r="D165" s="6" t="str">
        <f>APPRENANTS!C146</f>
        <v>GRAS</v>
      </c>
      <c r="E165" s="6" t="str">
        <f>APPRENANTS!U146</f>
        <v>Analyse du besoin, CV, Questionnaire/Test, Contrat, Convocation, Eval intermediaire, Eval finale, Questionnaire satisfaction, Document de fin</v>
      </c>
      <c r="F165" s="14">
        <f>APPRENANTS!V146</f>
        <v>0</v>
      </c>
      <c r="G165" s="6" t="str">
        <f>'WEDOF - EXAMEN FINAL'!M146</f>
        <v>CV, CIN, 6 dossiers admin, Convocation examen</v>
      </c>
      <c r="H165" s="6" t="str">
        <f>APPRENANTS!W146</f>
        <v/>
      </c>
      <c r="I165" s="6" t="str">
        <f>APPRENANTS!X146</f>
        <v/>
      </c>
      <c r="J165" s="6" t="str">
        <f>'PAIEMENTS &amp; COMMISSIONS'!L146</f>
        <v>A venir</v>
      </c>
      <c r="K165" s="10" t="str">
        <f>APPRENANTS!Y146</f>
        <v>Oui</v>
      </c>
    </row>
    <row r="166" ht="15.0" customHeight="1">
      <c r="B166" s="6" t="str">
        <f>APPRENANTS!A147</f>
        <v>Proskills Institut</v>
      </c>
      <c r="C166" s="6" t="str">
        <f>APPRENANTS!B147</f>
        <v>BESSA Oussama</v>
      </c>
      <c r="D166" s="6" t="str">
        <f>APPRENANTS!C147</f>
        <v>Jean</v>
      </c>
      <c r="E166" s="6" t="str">
        <f>APPRENANTS!U147</f>
        <v>Analyse du besoin, CV, Questionnaire/Test, Contrat, Convocation, Eval intermediaire, Eval finale, Questionnaire satisfaction, Document de fin</v>
      </c>
      <c r="F166" s="14">
        <f>APPRENANTS!V147</f>
        <v>0</v>
      </c>
      <c r="G166" s="6" t="str">
        <f>'WEDOF - EXAMEN FINAL'!M147</f>
        <v>CV, CIN, 6 dossiers admin, Convocation examen</v>
      </c>
      <c r="H166" s="6" t="str">
        <f>APPRENANTS!W147</f>
        <v/>
      </c>
      <c r="I166" s="6" t="str">
        <f>APPRENANTS!X147</f>
        <v/>
      </c>
      <c r="J166" s="6" t="str">
        <f>'PAIEMENTS &amp; COMMISSIONS'!L147</f>
        <v>A venir</v>
      </c>
      <c r="K166" s="10" t="str">
        <f>APPRENANTS!Y147</f>
        <v>Oui</v>
      </c>
    </row>
    <row r="167" ht="15.0" customHeight="1">
      <c r="B167" s="6" t="str">
        <f>APPRENANTS!A148</f>
        <v>Proskills Institut</v>
      </c>
      <c r="C167" s="6" t="str">
        <f>APPRENANTS!B148</f>
        <v>BESSA Oussama</v>
      </c>
      <c r="D167" s="6" t="str">
        <f>APPRENANTS!C148</f>
        <v>Jean</v>
      </c>
      <c r="E167" s="6" t="str">
        <f>APPRENANTS!U148</f>
        <v>Analyse du besoin, CV, Questionnaire/Test, Contrat, Convocation, Eval intermediaire, Eval finale, Questionnaire satisfaction, Document de fin</v>
      </c>
      <c r="F167" s="14">
        <f>APPRENANTS!V148</f>
        <v>0</v>
      </c>
      <c r="G167" s="6" t="str">
        <f>'WEDOF - EXAMEN FINAL'!M148</f>
        <v>CV, CIN, 6 dossiers admin, Convocation examen</v>
      </c>
      <c r="H167" s="6" t="str">
        <f>APPRENANTS!W148</f>
        <v/>
      </c>
      <c r="I167" s="6" t="str">
        <f>APPRENANTS!X148</f>
        <v/>
      </c>
      <c r="J167" s="6" t="str">
        <f>'PAIEMENTS &amp; COMMISSIONS'!L148</f>
        <v>A venir</v>
      </c>
      <c r="K167" s="10" t="str">
        <f>APPRENANTS!Y148</f>
        <v>Oui</v>
      </c>
    </row>
    <row r="168" ht="15.0" customHeight="1">
      <c r="B168" s="6" t="str">
        <f>APPRENANTS!A149</f>
        <v>Proskills Institut</v>
      </c>
      <c r="C168" s="6" t="str">
        <f>APPRENANTS!B149</f>
        <v>NOUIRI Ryad</v>
      </c>
      <c r="D168" s="6" t="str">
        <f>APPRENANTS!C149</f>
        <v>GRAS</v>
      </c>
      <c r="E168" s="6" t="str">
        <f>APPRENANTS!U149</f>
        <v>Analyse du besoin, CV, Questionnaire/Test, Contrat, Convocation, Eval intermediaire, Eval finale, Questionnaire satisfaction, Document de fin</v>
      </c>
      <c r="F168" s="14">
        <f>APPRENANTS!V149</f>
        <v>0</v>
      </c>
      <c r="G168" s="6" t="str">
        <f>'WEDOF - EXAMEN FINAL'!M149</f>
        <v>CV, CIN, 6 dossiers admin, Convocation examen</v>
      </c>
      <c r="H168" s="6" t="str">
        <f>APPRENANTS!W149</f>
        <v/>
      </c>
      <c r="I168" s="6" t="str">
        <f>APPRENANTS!X149</f>
        <v/>
      </c>
      <c r="J168" s="6" t="str">
        <f>'PAIEMENTS &amp; COMMISSIONS'!L149</f>
        <v>Inscription non confirmee</v>
      </c>
      <c r="K168" s="10" t="str">
        <f>APPRENANTS!Y149</f>
        <v>Non</v>
      </c>
    </row>
    <row r="169" ht="15.0" customHeight="1">
      <c r="B169" s="6" t="str">
        <f>APPRENANTS!A150</f>
        <v>Proskills Institut</v>
      </c>
      <c r="C169" s="6" t="str">
        <f>APPRENANTS!B150</f>
        <v>RUIZ Thomas</v>
      </c>
      <c r="D169" s="6" t="str">
        <f>APPRENANTS!C150</f>
        <v>GRAS</v>
      </c>
      <c r="E169" s="6" t="str">
        <f>APPRENANTS!U150</f>
        <v>Analyse du besoin, CV, Questionnaire/Test, Contrat, Convocation, Eval intermediaire, Eval finale, Questionnaire satisfaction, Document de fin</v>
      </c>
      <c r="F169" s="14">
        <f>APPRENANTS!V150</f>
        <v>0</v>
      </c>
      <c r="G169" s="6" t="str">
        <f>'WEDOF - EXAMEN FINAL'!M150</f>
        <v>CV, CIN, 6 dossiers admin, Convocation examen</v>
      </c>
      <c r="H169" s="6" t="str">
        <f>APPRENANTS!W150</f>
        <v/>
      </c>
      <c r="I169" s="6" t="str">
        <f>APPRENANTS!X150</f>
        <v/>
      </c>
      <c r="J169" s="6" t="str">
        <f>'PAIEMENTS &amp; COMMISSIONS'!L150</f>
        <v>Inscription non confirmee</v>
      </c>
      <c r="K169" s="10" t="str">
        <f>APPRENANTS!Y150</f>
        <v>Non</v>
      </c>
    </row>
    <row r="170" ht="15.0" customHeight="1">
      <c r="B170" s="6" t="str">
        <f>APPRENANTS!A151</f>
        <v>Proskills Institut</v>
      </c>
      <c r="C170" s="6" t="str">
        <f>APPRENANTS!B151</f>
        <v>BOGGIO Andre</v>
      </c>
      <c r="D170" s="6" t="str">
        <f>APPRENANTS!C151</f>
        <v>Sabri</v>
      </c>
      <c r="E170" s="6" t="str">
        <f>APPRENANTS!U151</f>
        <v>Analyse du besoin, CV, Questionnaire/Test, Contrat, Convocation, Eval intermediaire, Eval finale, Questionnaire satisfaction, Document de fin</v>
      </c>
      <c r="F170" s="14">
        <f>APPRENANTS!V151</f>
        <v>0</v>
      </c>
      <c r="G170" s="6" t="str">
        <f>'WEDOF - EXAMEN FINAL'!M151</f>
        <v>CV, CIN, 6 dossiers admin, Convocation examen</v>
      </c>
      <c r="H170" s="6" t="str">
        <f>APPRENANTS!W151</f>
        <v/>
      </c>
      <c r="I170" s="6" t="str">
        <f>APPRENANTS!X151</f>
        <v/>
      </c>
      <c r="J170" s="6" t="str">
        <f>'PAIEMENTS &amp; COMMISSIONS'!L151</f>
        <v>Inscription non confirmee</v>
      </c>
      <c r="K170" s="10" t="str">
        <f>APPRENANTS!Y151</f>
        <v>Non</v>
      </c>
    </row>
    <row r="171" ht="15.0" customHeight="1">
      <c r="B171" s="6" t="str">
        <f>APPRENANTS!A152</f>
        <v>Proskills Institut</v>
      </c>
      <c r="C171" s="6" t="str">
        <f>APPRENANTS!B152</f>
        <v>BOGGIO Andre</v>
      </c>
      <c r="D171" s="6" t="str">
        <f>APPRENANTS!C152</f>
        <v>Sabri</v>
      </c>
      <c r="E171" s="6" t="str">
        <f>APPRENANTS!U152</f>
        <v>Analyse du besoin, CV, Questionnaire/Test, Contrat, Convocation, Eval intermediaire, Eval finale, Questionnaire satisfaction, Document de fin</v>
      </c>
      <c r="F171" s="14">
        <f>APPRENANTS!V152</f>
        <v>0</v>
      </c>
      <c r="G171" s="6" t="str">
        <f>'WEDOF - EXAMEN FINAL'!M152</f>
        <v>CV, CIN, 6 dossiers admin, Convocation examen</v>
      </c>
      <c r="H171" s="6" t="str">
        <f>APPRENANTS!W152</f>
        <v/>
      </c>
      <c r="I171" s="6" t="str">
        <f>APPRENANTS!X152</f>
        <v/>
      </c>
      <c r="J171" s="6" t="str">
        <f>'PAIEMENTS &amp; COMMISSIONS'!L152</f>
        <v>Inscription non confirmee</v>
      </c>
      <c r="K171" s="10" t="str">
        <f>APPRENANTS!Y152</f>
        <v>Non</v>
      </c>
    </row>
    <row r="172" ht="15.0" customHeight="1">
      <c r="B172" s="6" t="str">
        <f>APPRENANTS!A153</f>
        <v>Proskills Institut</v>
      </c>
      <c r="C172" s="6" t="str">
        <f>APPRENANTS!B153</f>
        <v>BOGGIO Andre</v>
      </c>
      <c r="D172" s="6" t="str">
        <f>APPRENANTS!C153</f>
        <v>Sabri</v>
      </c>
      <c r="E172" s="6" t="str">
        <f>APPRENANTS!U153</f>
        <v>Analyse du besoin, CV, Questionnaire/Test, Contrat, Convocation, Eval intermediaire, Eval finale, Questionnaire satisfaction, Document de fin</v>
      </c>
      <c r="F172" s="14">
        <f>APPRENANTS!V153</f>
        <v>0</v>
      </c>
      <c r="G172" s="6" t="str">
        <f>'WEDOF - EXAMEN FINAL'!M153</f>
        <v>CV, CIN, 6 dossiers admin, Convocation examen</v>
      </c>
      <c r="H172" s="6" t="str">
        <f>APPRENANTS!W153</f>
        <v/>
      </c>
      <c r="I172" s="6" t="str">
        <f>APPRENANTS!X153</f>
        <v/>
      </c>
      <c r="J172" s="6" t="str">
        <f>'PAIEMENTS &amp; COMMISSIONS'!L153</f>
        <v>Inscription non confirmee</v>
      </c>
      <c r="K172" s="10" t="str">
        <f>APPRENANTS!Y153</f>
        <v>Non</v>
      </c>
    </row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20:$K$172"/>
  <conditionalFormatting sqref="B21:J172">
    <cfRule type="expression" dxfId="1" priority="1">
      <formula>$H21&lt;&gt;""</formula>
    </cfRule>
  </conditionalFormatting>
  <conditionalFormatting sqref="B21:J172">
    <cfRule type="expression" dxfId="1" priority="2">
      <formula>$J21="En retard - a verser"</formula>
    </cfRule>
  </conditionalFormatting>
  <conditionalFormatting sqref="B21:J172">
    <cfRule type="expression" dxfId="0" priority="3">
      <formula>AND($E21="",$G21="")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6.0"/>
    <col customWidth="1" min="2" max="2" width="22.0"/>
    <col customWidth="1" min="3" max="3" width="13.0"/>
    <col customWidth="1" min="4" max="4" width="32.0"/>
    <col customWidth="1" min="5" max="6" width="13.0"/>
    <col customWidth="1" min="7" max="7" width="11.0"/>
    <col customWidth="1" min="8" max="8" width="30.0"/>
    <col customWidth="1" min="9" max="9" width="26.0"/>
    <col customWidth="1" min="10" max="12" width="13.0"/>
    <col customWidth="1" min="13" max="13" width="8.0"/>
    <col customWidth="1" min="14" max="14" width="16.0"/>
    <col customWidth="1" min="15" max="15" width="10.0"/>
    <col customWidth="1" min="16" max="16" width="12.0"/>
    <col customWidth="1" min="17" max="17" width="14.0"/>
    <col customWidth="1" min="18" max="18" width="11.0"/>
    <col customWidth="1" min="19" max="19" width="16.0"/>
    <col customWidth="1" min="20" max="20" width="13.0"/>
    <col customWidth="1" min="21" max="21" width="45.0"/>
    <col customWidth="1" min="22" max="22" width="10.0"/>
    <col customWidth="1" min="23" max="23" width="35.0"/>
    <col customWidth="1" min="24" max="24" width="20.0"/>
    <col customWidth="1" min="25" max="25" width="22.0"/>
    <col customWidth="1" min="26" max="26" width="8.63"/>
  </cols>
  <sheetData>
    <row r="1" ht="39.0" customHeight="1">
      <c r="A1" s="2" t="s">
        <v>0</v>
      </c>
      <c r="B1" s="2" t="s">
        <v>3</v>
      </c>
      <c r="C1" s="2" t="s">
        <v>5</v>
      </c>
      <c r="D1" s="2" t="s">
        <v>8</v>
      </c>
      <c r="E1" s="2" t="s">
        <v>15</v>
      </c>
      <c r="F1" s="2" t="s">
        <v>17</v>
      </c>
      <c r="G1" s="2" t="s">
        <v>18</v>
      </c>
      <c r="H1" s="2" t="s">
        <v>16</v>
      </c>
      <c r="I1" s="2" t="s">
        <v>19</v>
      </c>
      <c r="J1" s="2" t="s">
        <v>25</v>
      </c>
      <c r="K1" s="2" t="s">
        <v>23</v>
      </c>
      <c r="L1" s="2" t="s">
        <v>29</v>
      </c>
      <c r="M1" s="2" t="s">
        <v>6</v>
      </c>
      <c r="N1" s="2" t="s">
        <v>31</v>
      </c>
      <c r="O1" s="2" t="s">
        <v>33</v>
      </c>
      <c r="P1" s="2" t="s">
        <v>35</v>
      </c>
      <c r="Q1" s="2" t="s">
        <v>37</v>
      </c>
      <c r="R1" s="2" t="s">
        <v>39</v>
      </c>
      <c r="S1" s="2" t="s">
        <v>41</v>
      </c>
      <c r="T1" s="2" t="s">
        <v>42</v>
      </c>
      <c r="U1" s="2" t="s">
        <v>26</v>
      </c>
      <c r="V1" s="2" t="s">
        <v>45</v>
      </c>
      <c r="W1" s="2" t="s">
        <v>46</v>
      </c>
      <c r="X1" s="2" t="s">
        <v>48</v>
      </c>
      <c r="Y1" s="2" t="s">
        <v>50</v>
      </c>
    </row>
    <row r="2" ht="15.0" customHeight="1">
      <c r="A2" s="7" t="s">
        <v>51</v>
      </c>
      <c r="B2" s="7" t="s">
        <v>53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63</v>
      </c>
      <c r="K2" s="7" t="s">
        <v>64</v>
      </c>
      <c r="L2" s="7" t="s">
        <v>44</v>
      </c>
      <c r="M2" s="7" t="str">
        <f>'WEDOF - EXAMEN FINAL'!D2</f>
        <v>A faire</v>
      </c>
      <c r="N2" s="7" t="s">
        <v>47</v>
      </c>
      <c r="O2" s="7" t="s">
        <v>47</v>
      </c>
      <c r="P2" s="7" t="s">
        <v>47</v>
      </c>
      <c r="Q2" s="7" t="s">
        <v>47</v>
      </c>
      <c r="R2" s="7" t="s">
        <v>47</v>
      </c>
      <c r="S2" s="7" t="s">
        <v>47</v>
      </c>
      <c r="T2" s="7" t="s">
        <v>47</v>
      </c>
      <c r="U2" s="7" t="str">
        <f t="shared" ref="U2:U153" si="1">TEXTJOIN(", ",TRUE(),IF($L2="A faire","Analyse du besoin",""),IF($M2="A faire","CV",""),IF($N2="A faire","Questionnaire/Test",""),IF($O2="A faire","Contrat",""),IF($P2="A faire","Convocation",""),IF($Q2="A faire","Eval intermediaire",""),IF($R2="A faire","Eval finale",""),IF($S2="A faire","Questionnaire satisfaction",""),IF($T2="A faire","Document de fin",""))</f>
        <v>Analyse du besoin, CV</v>
      </c>
      <c r="V2" s="13">
        <f t="shared" ref="V2:V153" si="2">COUNTIF(L2:T2,"Fait")/9</f>
        <v>0.7777777778</v>
      </c>
      <c r="W2" s="7" t="str">
        <f t="shared" ref="W2:W153" si="3">IF($F2="","",IF(AND(TODAY()&gt;=(DATEVALUE($F2)+1),$U2&lt;&gt;""),"A RELANCER : "&amp;$U2,""))</f>
        <v>A RELANCER : Analyse du besoin, CV</v>
      </c>
      <c r="X2" s="7" t="str">
        <f t="shared" ref="X2:X153" si="4">IF(SUMPRODUCT(($B$2:$B$153=$B2)*($D$2:$D$153=$D2)*($E$2:$E$153=$E2)*($A$2:$A$153&lt;&gt;$A2))&gt;0,"DOUBLON A VERIFIER","")</f>
        <v/>
      </c>
      <c r="Y2" s="11" t="s">
        <v>74</v>
      </c>
    </row>
    <row r="3" ht="15.0" customHeight="1">
      <c r="A3" s="7" t="s">
        <v>51</v>
      </c>
      <c r="B3" s="7" t="s">
        <v>75</v>
      </c>
      <c r="C3" s="7" t="s">
        <v>76</v>
      </c>
      <c r="D3" s="7" t="s">
        <v>56</v>
      </c>
      <c r="E3" s="7" t="s">
        <v>57</v>
      </c>
      <c r="F3" s="7" t="s">
        <v>58</v>
      </c>
      <c r="G3" s="7" t="s">
        <v>59</v>
      </c>
      <c r="H3" s="7" t="s">
        <v>77</v>
      </c>
      <c r="I3" s="7" t="s">
        <v>78</v>
      </c>
      <c r="J3" s="7" t="s">
        <v>79</v>
      </c>
      <c r="K3" s="7" t="s">
        <v>80</v>
      </c>
      <c r="L3" s="7" t="s">
        <v>44</v>
      </c>
      <c r="M3" s="7" t="str">
        <f>'WEDOF - EXAMEN FINAL'!D3</f>
        <v>Fait</v>
      </c>
      <c r="N3" s="7" t="s">
        <v>47</v>
      </c>
      <c r="O3" s="7" t="s">
        <v>47</v>
      </c>
      <c r="P3" s="7" t="s">
        <v>47</v>
      </c>
      <c r="Q3" s="7" t="s">
        <v>47</v>
      </c>
      <c r="R3" s="7" t="s">
        <v>47</v>
      </c>
      <c r="S3" s="7" t="s">
        <v>47</v>
      </c>
      <c r="T3" s="7" t="s">
        <v>47</v>
      </c>
      <c r="U3" s="7" t="str">
        <f t="shared" si="1"/>
        <v>Analyse du besoin</v>
      </c>
      <c r="V3" s="13">
        <f t="shared" si="2"/>
        <v>0.8888888889</v>
      </c>
      <c r="W3" s="7" t="str">
        <f t="shared" si="3"/>
        <v>A RELANCER : Analyse du besoin</v>
      </c>
      <c r="X3" s="7" t="str">
        <f t="shared" si="4"/>
        <v/>
      </c>
      <c r="Y3" s="11" t="s">
        <v>74</v>
      </c>
    </row>
    <row r="4" ht="15.0" customHeight="1">
      <c r="A4" s="7" t="s">
        <v>51</v>
      </c>
      <c r="B4" s="7" t="s">
        <v>83</v>
      </c>
      <c r="C4" s="7" t="s">
        <v>76</v>
      </c>
      <c r="D4" s="7" t="s">
        <v>56</v>
      </c>
      <c r="E4" s="7" t="s">
        <v>84</v>
      </c>
      <c r="F4" s="7" t="s">
        <v>86</v>
      </c>
      <c r="G4" s="7" t="s">
        <v>59</v>
      </c>
      <c r="H4" s="7" t="s">
        <v>87</v>
      </c>
      <c r="I4" s="7" t="s">
        <v>88</v>
      </c>
      <c r="J4" s="7" t="s">
        <v>89</v>
      </c>
      <c r="K4" s="7" t="s">
        <v>90</v>
      </c>
      <c r="L4" s="7" t="s">
        <v>44</v>
      </c>
      <c r="M4" s="7" t="str">
        <f>'WEDOF - EXAMEN FINAL'!D4</f>
        <v>A faire</v>
      </c>
      <c r="N4" s="7" t="s">
        <v>47</v>
      </c>
      <c r="O4" s="7" t="s">
        <v>47</v>
      </c>
      <c r="P4" s="7" t="s">
        <v>47</v>
      </c>
      <c r="Q4" s="7" t="s">
        <v>47</v>
      </c>
      <c r="R4" s="7" t="s">
        <v>47</v>
      </c>
      <c r="S4" s="7" t="s">
        <v>47</v>
      </c>
      <c r="T4" s="7" t="s">
        <v>47</v>
      </c>
      <c r="U4" s="7" t="str">
        <f t="shared" si="1"/>
        <v>Analyse du besoin, CV</v>
      </c>
      <c r="V4" s="13">
        <f t="shared" si="2"/>
        <v>0.7777777778</v>
      </c>
      <c r="W4" s="7" t="str">
        <f t="shared" si="3"/>
        <v>A RELANCER : Analyse du besoin, CV</v>
      </c>
      <c r="X4" s="7" t="str">
        <f t="shared" si="4"/>
        <v/>
      </c>
      <c r="Y4" s="11" t="s">
        <v>74</v>
      </c>
    </row>
    <row r="5" ht="15.0" customHeight="1">
      <c r="A5" s="7" t="s">
        <v>51</v>
      </c>
      <c r="B5" s="7" t="s">
        <v>92</v>
      </c>
      <c r="C5" s="7" t="s">
        <v>76</v>
      </c>
      <c r="D5" s="7" t="s">
        <v>56</v>
      </c>
      <c r="E5" s="7" t="s">
        <v>84</v>
      </c>
      <c r="F5" s="7" t="s">
        <v>86</v>
      </c>
      <c r="G5" s="7" t="s">
        <v>59</v>
      </c>
      <c r="H5" s="7" t="s">
        <v>93</v>
      </c>
      <c r="I5" s="7" t="s">
        <v>94</v>
      </c>
      <c r="J5" s="7" t="s">
        <v>95</v>
      </c>
      <c r="K5" s="7" t="s">
        <v>96</v>
      </c>
      <c r="L5" s="7" t="s">
        <v>44</v>
      </c>
      <c r="M5" s="7" t="str">
        <f>'WEDOF - EXAMEN FINAL'!D5</f>
        <v>Fait</v>
      </c>
      <c r="N5" s="7" t="s">
        <v>47</v>
      </c>
      <c r="O5" s="7" t="s">
        <v>47</v>
      </c>
      <c r="P5" s="7" t="s">
        <v>47</v>
      </c>
      <c r="Q5" s="7" t="s">
        <v>47</v>
      </c>
      <c r="R5" s="7" t="s">
        <v>47</v>
      </c>
      <c r="S5" s="7" t="s">
        <v>47</v>
      </c>
      <c r="T5" s="7" t="s">
        <v>47</v>
      </c>
      <c r="U5" s="7" t="str">
        <f t="shared" si="1"/>
        <v>Analyse du besoin</v>
      </c>
      <c r="V5" s="13">
        <f t="shared" si="2"/>
        <v>0.8888888889</v>
      </c>
      <c r="W5" s="7" t="str">
        <f t="shared" si="3"/>
        <v>A RELANCER : Analyse du besoin</v>
      </c>
      <c r="X5" s="7" t="str">
        <f t="shared" si="4"/>
        <v/>
      </c>
      <c r="Y5" s="11" t="s">
        <v>74</v>
      </c>
    </row>
    <row r="6" ht="15.0" customHeight="1">
      <c r="A6" s="7" t="s">
        <v>51</v>
      </c>
      <c r="B6" s="7" t="s">
        <v>98</v>
      </c>
      <c r="C6" s="7" t="s">
        <v>76</v>
      </c>
      <c r="D6" s="7" t="s">
        <v>56</v>
      </c>
      <c r="E6" s="7" t="s">
        <v>84</v>
      </c>
      <c r="F6" s="7" t="s">
        <v>86</v>
      </c>
      <c r="G6" s="7" t="s">
        <v>59</v>
      </c>
      <c r="H6" s="7" t="s">
        <v>100</v>
      </c>
      <c r="I6" s="7" t="s">
        <v>101</v>
      </c>
      <c r="J6" s="7" t="s">
        <v>102</v>
      </c>
      <c r="K6" s="7" t="s">
        <v>103</v>
      </c>
      <c r="L6" s="7" t="s">
        <v>44</v>
      </c>
      <c r="M6" s="7" t="str">
        <f>'WEDOF - EXAMEN FINAL'!D6</f>
        <v>Fait</v>
      </c>
      <c r="N6" s="7" t="s">
        <v>47</v>
      </c>
      <c r="O6" s="7" t="s">
        <v>47</v>
      </c>
      <c r="P6" s="7" t="s">
        <v>47</v>
      </c>
      <c r="Q6" s="7" t="s">
        <v>47</v>
      </c>
      <c r="R6" s="7" t="s">
        <v>47</v>
      </c>
      <c r="S6" s="7" t="s">
        <v>47</v>
      </c>
      <c r="T6" s="7" t="s">
        <v>47</v>
      </c>
      <c r="U6" s="7" t="str">
        <f t="shared" si="1"/>
        <v>Analyse du besoin</v>
      </c>
      <c r="V6" s="13">
        <f t="shared" si="2"/>
        <v>0.8888888889</v>
      </c>
      <c r="W6" s="7" t="str">
        <f t="shared" si="3"/>
        <v>A RELANCER : Analyse du besoin</v>
      </c>
      <c r="X6" s="7" t="str">
        <f t="shared" si="4"/>
        <v/>
      </c>
      <c r="Y6" s="11" t="s">
        <v>74</v>
      </c>
    </row>
    <row r="7" ht="15.0" customHeight="1">
      <c r="A7" s="7" t="s">
        <v>51</v>
      </c>
      <c r="B7" s="7" t="s">
        <v>105</v>
      </c>
      <c r="C7" s="7" t="s">
        <v>76</v>
      </c>
      <c r="D7" s="7" t="s">
        <v>56</v>
      </c>
      <c r="E7" s="7" t="s">
        <v>84</v>
      </c>
      <c r="F7" s="7" t="s">
        <v>86</v>
      </c>
      <c r="G7" s="7" t="s">
        <v>59</v>
      </c>
      <c r="H7" s="7" t="s">
        <v>106</v>
      </c>
      <c r="I7" s="7" t="s">
        <v>107</v>
      </c>
      <c r="J7" s="7" t="s">
        <v>108</v>
      </c>
      <c r="K7" s="7" t="s">
        <v>109</v>
      </c>
      <c r="L7" s="7" t="s">
        <v>44</v>
      </c>
      <c r="M7" s="7" t="str">
        <f>'WEDOF - EXAMEN FINAL'!D7</f>
        <v>Fait</v>
      </c>
      <c r="N7" s="7" t="s">
        <v>47</v>
      </c>
      <c r="O7" s="7" t="s">
        <v>47</v>
      </c>
      <c r="P7" s="7" t="s">
        <v>47</v>
      </c>
      <c r="Q7" s="7" t="s">
        <v>47</v>
      </c>
      <c r="R7" s="7" t="s">
        <v>47</v>
      </c>
      <c r="S7" s="7" t="s">
        <v>47</v>
      </c>
      <c r="T7" s="7" t="s">
        <v>47</v>
      </c>
      <c r="U7" s="7" t="str">
        <f t="shared" si="1"/>
        <v>Analyse du besoin</v>
      </c>
      <c r="V7" s="13">
        <f t="shared" si="2"/>
        <v>0.8888888889</v>
      </c>
      <c r="W7" s="7" t="str">
        <f t="shared" si="3"/>
        <v>A RELANCER : Analyse du besoin</v>
      </c>
      <c r="X7" s="7" t="str">
        <f t="shared" si="4"/>
        <v/>
      </c>
      <c r="Y7" s="11" t="s">
        <v>74</v>
      </c>
    </row>
    <row r="8" ht="15.0" customHeight="1">
      <c r="A8" s="7" t="s">
        <v>51</v>
      </c>
      <c r="B8" s="7" t="s">
        <v>112</v>
      </c>
      <c r="C8" s="7" t="s">
        <v>76</v>
      </c>
      <c r="D8" s="7" t="s">
        <v>56</v>
      </c>
      <c r="E8" s="7" t="s">
        <v>113</v>
      </c>
      <c r="F8" s="7" t="s">
        <v>114</v>
      </c>
      <c r="G8" s="7" t="s">
        <v>115</v>
      </c>
      <c r="H8" s="7" t="s">
        <v>116</v>
      </c>
      <c r="I8" s="7" t="s">
        <v>117</v>
      </c>
      <c r="J8" s="7" t="s">
        <v>118</v>
      </c>
      <c r="K8" s="7" t="s">
        <v>119</v>
      </c>
      <c r="L8" s="7" t="s">
        <v>44</v>
      </c>
      <c r="M8" s="7" t="str">
        <f>'WEDOF - EXAMEN FINAL'!D8</f>
        <v>Fait</v>
      </c>
      <c r="N8" s="7" t="s">
        <v>47</v>
      </c>
      <c r="O8" s="7" t="s">
        <v>47</v>
      </c>
      <c r="P8" s="7" t="s">
        <v>47</v>
      </c>
      <c r="Q8" s="7" t="s">
        <v>47</v>
      </c>
      <c r="R8" s="7" t="s">
        <v>47</v>
      </c>
      <c r="S8" s="7" t="s">
        <v>47</v>
      </c>
      <c r="T8" s="7" t="s">
        <v>44</v>
      </c>
      <c r="U8" s="7" t="str">
        <f t="shared" si="1"/>
        <v>Analyse du besoin, Document de fin</v>
      </c>
      <c r="V8" s="13">
        <f t="shared" si="2"/>
        <v>0.7777777778</v>
      </c>
      <c r="W8" s="7" t="str">
        <f t="shared" si="3"/>
        <v>A RELANCER : Analyse du besoin, Document de fin</v>
      </c>
      <c r="X8" s="7" t="str">
        <f t="shared" si="4"/>
        <v/>
      </c>
      <c r="Y8" s="11" t="s">
        <v>74</v>
      </c>
    </row>
    <row r="9" ht="15.0" customHeight="1">
      <c r="A9" s="7" t="s">
        <v>51</v>
      </c>
      <c r="B9" s="7" t="s">
        <v>122</v>
      </c>
      <c r="C9" s="7" t="s">
        <v>76</v>
      </c>
      <c r="D9" s="7" t="s">
        <v>56</v>
      </c>
      <c r="E9" s="7" t="s">
        <v>113</v>
      </c>
      <c r="F9" s="7" t="s">
        <v>114</v>
      </c>
      <c r="G9" s="7" t="s">
        <v>115</v>
      </c>
      <c r="H9" s="7" t="s">
        <v>124</v>
      </c>
      <c r="I9" s="7" t="s">
        <v>125</v>
      </c>
      <c r="J9" s="7" t="s">
        <v>126</v>
      </c>
      <c r="K9" s="7" t="s">
        <v>127</v>
      </c>
      <c r="L9" s="7" t="s">
        <v>44</v>
      </c>
      <c r="M9" s="7" t="str">
        <f>'WEDOF - EXAMEN FINAL'!D9</f>
        <v>Fait</v>
      </c>
      <c r="N9" s="7" t="s">
        <v>47</v>
      </c>
      <c r="O9" s="7" t="s">
        <v>47</v>
      </c>
      <c r="P9" s="7" t="s">
        <v>47</v>
      </c>
      <c r="Q9" s="7" t="s">
        <v>47</v>
      </c>
      <c r="R9" s="7" t="s">
        <v>47</v>
      </c>
      <c r="S9" s="7" t="s">
        <v>47</v>
      </c>
      <c r="T9" s="7" t="s">
        <v>44</v>
      </c>
      <c r="U9" s="7" t="str">
        <f t="shared" si="1"/>
        <v>Analyse du besoin, Document de fin</v>
      </c>
      <c r="V9" s="13">
        <f t="shared" si="2"/>
        <v>0.7777777778</v>
      </c>
      <c r="W9" s="7" t="str">
        <f t="shared" si="3"/>
        <v>A RELANCER : Analyse du besoin, Document de fin</v>
      </c>
      <c r="X9" s="7" t="str">
        <f t="shared" si="4"/>
        <v/>
      </c>
      <c r="Y9" s="11" t="s">
        <v>74</v>
      </c>
    </row>
    <row r="10" ht="15.0" customHeight="1">
      <c r="A10" s="7" t="s">
        <v>51</v>
      </c>
      <c r="B10" s="7" t="s">
        <v>129</v>
      </c>
      <c r="C10" s="7" t="s">
        <v>130</v>
      </c>
      <c r="D10" s="7" t="s">
        <v>56</v>
      </c>
      <c r="E10" s="7" t="s">
        <v>57</v>
      </c>
      <c r="F10" s="7" t="s">
        <v>131</v>
      </c>
      <c r="G10" s="7" t="s">
        <v>59</v>
      </c>
      <c r="H10" s="7" t="s">
        <v>132</v>
      </c>
      <c r="I10" s="7" t="s">
        <v>133</v>
      </c>
      <c r="J10" s="7" t="s">
        <v>134</v>
      </c>
      <c r="K10" s="7" t="s">
        <v>135</v>
      </c>
      <c r="L10" s="7" t="s">
        <v>44</v>
      </c>
      <c r="M10" s="7" t="str">
        <f>'WEDOF - EXAMEN FINAL'!D10</f>
        <v>Fait</v>
      </c>
      <c r="N10" s="7" t="s">
        <v>47</v>
      </c>
      <c r="O10" s="7" t="s">
        <v>47</v>
      </c>
      <c r="P10" s="7" t="s">
        <v>47</v>
      </c>
      <c r="Q10" s="7" t="s">
        <v>47</v>
      </c>
      <c r="R10" s="7" t="s">
        <v>47</v>
      </c>
      <c r="S10" s="7" t="s">
        <v>47</v>
      </c>
      <c r="T10" s="7" t="s">
        <v>47</v>
      </c>
      <c r="U10" s="7" t="str">
        <f t="shared" si="1"/>
        <v>Analyse du besoin</v>
      </c>
      <c r="V10" s="13">
        <f t="shared" si="2"/>
        <v>0.8888888889</v>
      </c>
      <c r="W10" s="7" t="str">
        <f t="shared" si="3"/>
        <v>A RELANCER : Analyse du besoin</v>
      </c>
      <c r="X10" s="7" t="str">
        <f t="shared" si="4"/>
        <v/>
      </c>
      <c r="Y10" s="11" t="s">
        <v>74</v>
      </c>
    </row>
    <row r="11" ht="15.0" customHeight="1">
      <c r="A11" s="7" t="s">
        <v>51</v>
      </c>
      <c r="B11" s="7" t="s">
        <v>137</v>
      </c>
      <c r="C11" s="7" t="s">
        <v>130</v>
      </c>
      <c r="D11" s="7" t="s">
        <v>56</v>
      </c>
      <c r="E11" s="7" t="s">
        <v>138</v>
      </c>
      <c r="F11" s="7" t="s">
        <v>139</v>
      </c>
      <c r="G11" s="7" t="s">
        <v>59</v>
      </c>
      <c r="H11" s="7" t="s">
        <v>140</v>
      </c>
      <c r="I11" s="7" t="s">
        <v>141</v>
      </c>
      <c r="J11" s="7" t="s">
        <v>142</v>
      </c>
      <c r="K11" s="7" t="s">
        <v>143</v>
      </c>
      <c r="L11" s="7" t="s">
        <v>44</v>
      </c>
      <c r="M11" s="7" t="str">
        <f>'WEDOF - EXAMEN FINAL'!D11</f>
        <v>Fait</v>
      </c>
      <c r="N11" s="7" t="s">
        <v>47</v>
      </c>
      <c r="O11" s="7" t="s">
        <v>47</v>
      </c>
      <c r="P11" s="7" t="s">
        <v>47</v>
      </c>
      <c r="Q11" s="7" t="s">
        <v>47</v>
      </c>
      <c r="R11" s="7" t="s">
        <v>47</v>
      </c>
      <c r="S11" s="7" t="s">
        <v>47</v>
      </c>
      <c r="T11" s="7" t="s">
        <v>47</v>
      </c>
      <c r="U11" s="7" t="str">
        <f t="shared" si="1"/>
        <v>Analyse du besoin</v>
      </c>
      <c r="V11" s="13">
        <f t="shared" si="2"/>
        <v>0.8888888889</v>
      </c>
      <c r="W11" s="7" t="str">
        <f t="shared" si="3"/>
        <v>A RELANCER : Analyse du besoin</v>
      </c>
      <c r="X11" s="7" t="str">
        <f t="shared" si="4"/>
        <v/>
      </c>
      <c r="Y11" s="11" t="s">
        <v>74</v>
      </c>
    </row>
    <row r="12" ht="15.0" customHeight="1">
      <c r="A12" s="7" t="s">
        <v>51</v>
      </c>
      <c r="B12" s="7" t="s">
        <v>144</v>
      </c>
      <c r="C12" s="7" t="s">
        <v>130</v>
      </c>
      <c r="D12" s="7" t="s">
        <v>56</v>
      </c>
      <c r="E12" s="7" t="s">
        <v>84</v>
      </c>
      <c r="F12" s="7" t="s">
        <v>86</v>
      </c>
      <c r="G12" s="7" t="s">
        <v>59</v>
      </c>
      <c r="H12" s="7" t="s">
        <v>145</v>
      </c>
      <c r="I12" s="7" t="s">
        <v>146</v>
      </c>
      <c r="J12" s="7" t="s">
        <v>147</v>
      </c>
      <c r="K12" s="7" t="s">
        <v>148</v>
      </c>
      <c r="L12" s="7" t="s">
        <v>44</v>
      </c>
      <c r="M12" s="7" t="str">
        <f>'WEDOF - EXAMEN FINAL'!D12</f>
        <v>Fait</v>
      </c>
      <c r="N12" s="7" t="s">
        <v>47</v>
      </c>
      <c r="O12" s="7" t="s">
        <v>47</v>
      </c>
      <c r="P12" s="7" t="s">
        <v>47</v>
      </c>
      <c r="Q12" s="7" t="s">
        <v>47</v>
      </c>
      <c r="R12" s="7" t="s">
        <v>47</v>
      </c>
      <c r="S12" s="7" t="s">
        <v>47</v>
      </c>
      <c r="T12" s="7" t="s">
        <v>47</v>
      </c>
      <c r="U12" s="7" t="str">
        <f t="shared" si="1"/>
        <v>Analyse du besoin</v>
      </c>
      <c r="V12" s="13">
        <f t="shared" si="2"/>
        <v>0.8888888889</v>
      </c>
      <c r="W12" s="7" t="str">
        <f t="shared" si="3"/>
        <v>A RELANCER : Analyse du besoin</v>
      </c>
      <c r="X12" s="7" t="str">
        <f t="shared" si="4"/>
        <v/>
      </c>
      <c r="Y12" s="11" t="s">
        <v>74</v>
      </c>
    </row>
    <row r="13" ht="15.0" customHeight="1">
      <c r="A13" s="7" t="s">
        <v>51</v>
      </c>
      <c r="B13" s="7" t="s">
        <v>149</v>
      </c>
      <c r="C13" s="7" t="s">
        <v>130</v>
      </c>
      <c r="D13" s="7" t="s">
        <v>56</v>
      </c>
      <c r="E13" s="7" t="s">
        <v>84</v>
      </c>
      <c r="F13" s="7" t="s">
        <v>86</v>
      </c>
      <c r="G13" s="7" t="s">
        <v>59</v>
      </c>
      <c r="H13" s="7" t="s">
        <v>150</v>
      </c>
      <c r="I13" s="7" t="s">
        <v>151</v>
      </c>
      <c r="J13" s="7" t="s">
        <v>152</v>
      </c>
      <c r="K13" s="7" t="s">
        <v>153</v>
      </c>
      <c r="L13" s="7" t="s">
        <v>44</v>
      </c>
      <c r="M13" s="7" t="str">
        <f>'WEDOF - EXAMEN FINAL'!D13</f>
        <v>Fait</v>
      </c>
      <c r="N13" s="7" t="s">
        <v>47</v>
      </c>
      <c r="O13" s="7" t="s">
        <v>47</v>
      </c>
      <c r="P13" s="7" t="s">
        <v>47</v>
      </c>
      <c r="Q13" s="7" t="s">
        <v>47</v>
      </c>
      <c r="R13" s="7" t="s">
        <v>47</v>
      </c>
      <c r="S13" s="7" t="s">
        <v>47</v>
      </c>
      <c r="T13" s="7" t="s">
        <v>47</v>
      </c>
      <c r="U13" s="7" t="str">
        <f t="shared" si="1"/>
        <v>Analyse du besoin</v>
      </c>
      <c r="V13" s="13">
        <f t="shared" si="2"/>
        <v>0.8888888889</v>
      </c>
      <c r="W13" s="7" t="str">
        <f t="shared" si="3"/>
        <v>A RELANCER : Analyse du besoin</v>
      </c>
      <c r="X13" s="7" t="str">
        <f t="shared" si="4"/>
        <v/>
      </c>
      <c r="Y13" s="11" t="s">
        <v>74</v>
      </c>
    </row>
    <row r="14" ht="15.0" customHeight="1">
      <c r="A14" s="7" t="s">
        <v>51</v>
      </c>
      <c r="B14" s="7" t="s">
        <v>154</v>
      </c>
      <c r="C14" s="7" t="s">
        <v>130</v>
      </c>
      <c r="D14" s="7" t="s">
        <v>56</v>
      </c>
      <c r="E14" s="7" t="s">
        <v>84</v>
      </c>
      <c r="F14" s="7" t="s">
        <v>86</v>
      </c>
      <c r="G14" s="7" t="s">
        <v>59</v>
      </c>
      <c r="H14" s="7" t="s">
        <v>156</v>
      </c>
      <c r="I14" s="7" t="s">
        <v>157</v>
      </c>
      <c r="J14" s="7" t="s">
        <v>158</v>
      </c>
      <c r="K14" s="7" t="s">
        <v>159</v>
      </c>
      <c r="L14" s="7" t="s">
        <v>44</v>
      </c>
      <c r="M14" s="7" t="str">
        <f>'WEDOF - EXAMEN FINAL'!D14</f>
        <v>Fait</v>
      </c>
      <c r="N14" s="7" t="s">
        <v>47</v>
      </c>
      <c r="O14" s="7" t="s">
        <v>47</v>
      </c>
      <c r="P14" s="7" t="s">
        <v>47</v>
      </c>
      <c r="Q14" s="7" t="s">
        <v>47</v>
      </c>
      <c r="R14" s="7" t="s">
        <v>47</v>
      </c>
      <c r="S14" s="7" t="s">
        <v>47</v>
      </c>
      <c r="T14" s="7" t="s">
        <v>47</v>
      </c>
      <c r="U14" s="7" t="str">
        <f t="shared" si="1"/>
        <v>Analyse du besoin</v>
      </c>
      <c r="V14" s="13">
        <f t="shared" si="2"/>
        <v>0.8888888889</v>
      </c>
      <c r="W14" s="7" t="str">
        <f t="shared" si="3"/>
        <v>A RELANCER : Analyse du besoin</v>
      </c>
      <c r="X14" s="7" t="str">
        <f t="shared" si="4"/>
        <v/>
      </c>
      <c r="Y14" s="11" t="s">
        <v>74</v>
      </c>
    </row>
    <row r="15" ht="15.0" customHeight="1">
      <c r="A15" s="7" t="s">
        <v>51</v>
      </c>
      <c r="B15" s="7" t="s">
        <v>160</v>
      </c>
      <c r="C15" s="7" t="s">
        <v>130</v>
      </c>
      <c r="D15" s="7" t="s">
        <v>161</v>
      </c>
      <c r="E15" s="7" t="s">
        <v>162</v>
      </c>
      <c r="F15" s="7" t="s">
        <v>163</v>
      </c>
      <c r="G15" s="7" t="s">
        <v>59</v>
      </c>
      <c r="H15" s="7" t="s">
        <v>164</v>
      </c>
      <c r="I15" s="7" t="s">
        <v>165</v>
      </c>
      <c r="J15" s="7" t="s">
        <v>166</v>
      </c>
      <c r="K15" s="7" t="s">
        <v>167</v>
      </c>
      <c r="L15" s="7" t="s">
        <v>44</v>
      </c>
      <c r="M15" s="7" t="str">
        <f>'WEDOF - EXAMEN FINAL'!D15</f>
        <v>Fait</v>
      </c>
      <c r="N15" s="7" t="s">
        <v>47</v>
      </c>
      <c r="O15" s="7" t="s">
        <v>47</v>
      </c>
      <c r="P15" s="7" t="s">
        <v>47</v>
      </c>
      <c r="Q15" s="7" t="s">
        <v>47</v>
      </c>
      <c r="R15" s="7" t="s">
        <v>47</v>
      </c>
      <c r="S15" s="7" t="s">
        <v>47</v>
      </c>
      <c r="T15" s="7" t="s">
        <v>47</v>
      </c>
      <c r="U15" s="7" t="str">
        <f t="shared" si="1"/>
        <v>Analyse du besoin</v>
      </c>
      <c r="V15" s="13">
        <f t="shared" si="2"/>
        <v>0.8888888889</v>
      </c>
      <c r="W15" s="7" t="str">
        <f t="shared" si="3"/>
        <v>A RELANCER : Analyse du besoin</v>
      </c>
      <c r="X15" s="7" t="str">
        <f t="shared" si="4"/>
        <v/>
      </c>
      <c r="Y15" s="11" t="s">
        <v>74</v>
      </c>
    </row>
    <row r="16" ht="15.0" customHeight="1">
      <c r="A16" s="7" t="s">
        <v>51</v>
      </c>
      <c r="B16" s="7" t="s">
        <v>168</v>
      </c>
      <c r="C16" s="7" t="s">
        <v>130</v>
      </c>
      <c r="D16" s="7" t="s">
        <v>161</v>
      </c>
      <c r="E16" s="7" t="s">
        <v>162</v>
      </c>
      <c r="F16" s="7" t="s">
        <v>163</v>
      </c>
      <c r="G16" s="7" t="s">
        <v>59</v>
      </c>
      <c r="H16" s="7" t="s">
        <v>169</v>
      </c>
      <c r="I16" s="7" t="s">
        <v>170</v>
      </c>
      <c r="J16" s="7" t="s">
        <v>171</v>
      </c>
      <c r="K16" s="7" t="s">
        <v>172</v>
      </c>
      <c r="L16" s="7" t="s">
        <v>44</v>
      </c>
      <c r="M16" s="7" t="str">
        <f>'WEDOF - EXAMEN FINAL'!D16</f>
        <v>Fait</v>
      </c>
      <c r="N16" s="7" t="s">
        <v>47</v>
      </c>
      <c r="O16" s="7" t="s">
        <v>47</v>
      </c>
      <c r="P16" s="7" t="s">
        <v>47</v>
      </c>
      <c r="Q16" s="7" t="s">
        <v>47</v>
      </c>
      <c r="R16" s="7" t="s">
        <v>47</v>
      </c>
      <c r="S16" s="7" t="s">
        <v>47</v>
      </c>
      <c r="T16" s="7" t="s">
        <v>47</v>
      </c>
      <c r="U16" s="7" t="str">
        <f t="shared" si="1"/>
        <v>Analyse du besoin</v>
      </c>
      <c r="V16" s="13">
        <f t="shared" si="2"/>
        <v>0.8888888889</v>
      </c>
      <c r="W16" s="7" t="str">
        <f t="shared" si="3"/>
        <v>A RELANCER : Analyse du besoin</v>
      </c>
      <c r="X16" s="7" t="str">
        <f t="shared" si="4"/>
        <v/>
      </c>
      <c r="Y16" s="11" t="s">
        <v>74</v>
      </c>
    </row>
    <row r="17" ht="15.0" customHeight="1">
      <c r="A17" s="7" t="s">
        <v>51</v>
      </c>
      <c r="B17" s="7" t="s">
        <v>173</v>
      </c>
      <c r="C17" s="7" t="s">
        <v>130</v>
      </c>
      <c r="D17" s="7" t="s">
        <v>161</v>
      </c>
      <c r="E17" s="7" t="s">
        <v>162</v>
      </c>
      <c r="F17" s="7" t="s">
        <v>163</v>
      </c>
      <c r="G17" s="7" t="s">
        <v>59</v>
      </c>
      <c r="H17" s="7" t="s">
        <v>174</v>
      </c>
      <c r="I17" s="7" t="s">
        <v>175</v>
      </c>
      <c r="J17" s="7" t="s">
        <v>176</v>
      </c>
      <c r="K17" s="7" t="s">
        <v>177</v>
      </c>
      <c r="L17" s="7" t="s">
        <v>44</v>
      </c>
      <c r="M17" s="7" t="str">
        <f>'WEDOF - EXAMEN FINAL'!D17</f>
        <v>A faire</v>
      </c>
      <c r="N17" s="7" t="s">
        <v>47</v>
      </c>
      <c r="O17" s="7" t="s">
        <v>47</v>
      </c>
      <c r="P17" s="7" t="s">
        <v>47</v>
      </c>
      <c r="Q17" s="7" t="s">
        <v>47</v>
      </c>
      <c r="R17" s="7" t="s">
        <v>47</v>
      </c>
      <c r="S17" s="7" t="s">
        <v>47</v>
      </c>
      <c r="T17" s="7" t="s">
        <v>47</v>
      </c>
      <c r="U17" s="7" t="str">
        <f t="shared" si="1"/>
        <v>Analyse du besoin, CV</v>
      </c>
      <c r="V17" s="13">
        <f t="shared" si="2"/>
        <v>0.7777777778</v>
      </c>
      <c r="W17" s="7" t="str">
        <f t="shared" si="3"/>
        <v>A RELANCER : Analyse du besoin, CV</v>
      </c>
      <c r="X17" s="7" t="str">
        <f t="shared" si="4"/>
        <v/>
      </c>
      <c r="Y17" s="11" t="s">
        <v>74</v>
      </c>
    </row>
    <row r="18" ht="15.0" customHeight="1">
      <c r="A18" s="7" t="s">
        <v>51</v>
      </c>
      <c r="B18" s="7" t="s">
        <v>178</v>
      </c>
      <c r="C18" s="7" t="s">
        <v>130</v>
      </c>
      <c r="D18" s="7" t="s">
        <v>161</v>
      </c>
      <c r="E18" s="7" t="s">
        <v>162</v>
      </c>
      <c r="F18" s="7" t="s">
        <v>163</v>
      </c>
      <c r="G18" s="7" t="s">
        <v>59</v>
      </c>
      <c r="H18" s="7" t="s">
        <v>179</v>
      </c>
      <c r="I18" s="7" t="s">
        <v>180</v>
      </c>
      <c r="J18" s="7" t="s">
        <v>181</v>
      </c>
      <c r="K18" s="7" t="s">
        <v>182</v>
      </c>
      <c r="L18" s="7" t="s">
        <v>44</v>
      </c>
      <c r="M18" s="7" t="str">
        <f>'WEDOF - EXAMEN FINAL'!D18</f>
        <v>A faire</v>
      </c>
      <c r="N18" s="7" t="s">
        <v>47</v>
      </c>
      <c r="O18" s="7" t="s">
        <v>47</v>
      </c>
      <c r="P18" s="7" t="s">
        <v>47</v>
      </c>
      <c r="Q18" s="7" t="s">
        <v>47</v>
      </c>
      <c r="R18" s="7" t="s">
        <v>47</v>
      </c>
      <c r="S18" s="7" t="s">
        <v>47</v>
      </c>
      <c r="T18" s="7" t="s">
        <v>47</v>
      </c>
      <c r="U18" s="7" t="str">
        <f t="shared" si="1"/>
        <v>Analyse du besoin, CV</v>
      </c>
      <c r="V18" s="13">
        <f t="shared" si="2"/>
        <v>0.7777777778</v>
      </c>
      <c r="W18" s="7" t="str">
        <f t="shared" si="3"/>
        <v>A RELANCER : Analyse du besoin, CV</v>
      </c>
      <c r="X18" s="7" t="str">
        <f t="shared" si="4"/>
        <v/>
      </c>
      <c r="Y18" s="11" t="s">
        <v>74</v>
      </c>
    </row>
    <row r="19" ht="15.0" customHeight="1">
      <c r="A19" s="7" t="s">
        <v>51</v>
      </c>
      <c r="B19" s="7" t="s">
        <v>183</v>
      </c>
      <c r="C19" s="7" t="s">
        <v>130</v>
      </c>
      <c r="D19" s="7" t="s">
        <v>161</v>
      </c>
      <c r="E19" s="7" t="s">
        <v>184</v>
      </c>
      <c r="F19" s="7" t="s">
        <v>185</v>
      </c>
      <c r="G19" s="7" t="s">
        <v>59</v>
      </c>
      <c r="H19" s="7" t="s">
        <v>186</v>
      </c>
      <c r="I19" s="7" t="s">
        <v>187</v>
      </c>
      <c r="J19" s="7" t="s">
        <v>188</v>
      </c>
      <c r="K19" s="7" t="s">
        <v>189</v>
      </c>
      <c r="L19" s="7" t="s">
        <v>44</v>
      </c>
      <c r="M19" s="7" t="str">
        <f>'WEDOF - EXAMEN FINAL'!D19</f>
        <v>Fait</v>
      </c>
      <c r="N19" s="7" t="s">
        <v>47</v>
      </c>
      <c r="O19" s="7" t="s">
        <v>47</v>
      </c>
      <c r="P19" s="7" t="s">
        <v>47</v>
      </c>
      <c r="Q19" s="7" t="s">
        <v>47</v>
      </c>
      <c r="R19" s="7" t="s">
        <v>47</v>
      </c>
      <c r="S19" s="7" t="s">
        <v>47</v>
      </c>
      <c r="T19" s="7" t="s">
        <v>47</v>
      </c>
      <c r="U19" s="7" t="str">
        <f t="shared" si="1"/>
        <v>Analyse du besoin</v>
      </c>
      <c r="V19" s="13">
        <f t="shared" si="2"/>
        <v>0.8888888889</v>
      </c>
      <c r="W19" s="7" t="str">
        <f t="shared" si="3"/>
        <v>A RELANCER : Analyse du besoin</v>
      </c>
      <c r="X19" s="7" t="str">
        <f t="shared" si="4"/>
        <v/>
      </c>
      <c r="Y19" s="11" t="s">
        <v>74</v>
      </c>
    </row>
    <row r="20" ht="15.0" customHeight="1">
      <c r="A20" s="7" t="s">
        <v>51</v>
      </c>
      <c r="B20" s="7" t="s">
        <v>190</v>
      </c>
      <c r="C20" s="7" t="s">
        <v>130</v>
      </c>
      <c r="D20" s="7" t="s">
        <v>161</v>
      </c>
      <c r="E20" s="7" t="s">
        <v>184</v>
      </c>
      <c r="F20" s="7" t="s">
        <v>185</v>
      </c>
      <c r="G20" s="7" t="s">
        <v>59</v>
      </c>
      <c r="H20" s="7" t="s">
        <v>191</v>
      </c>
      <c r="I20" s="7" t="s">
        <v>192</v>
      </c>
      <c r="J20" s="7" t="s">
        <v>193</v>
      </c>
      <c r="K20" s="7" t="s">
        <v>194</v>
      </c>
      <c r="L20" s="7" t="s">
        <v>44</v>
      </c>
      <c r="M20" s="7" t="str">
        <f>'WEDOF - EXAMEN FINAL'!D20</f>
        <v>Fait</v>
      </c>
      <c r="N20" s="7" t="s">
        <v>47</v>
      </c>
      <c r="O20" s="7" t="s">
        <v>47</v>
      </c>
      <c r="P20" s="7" t="s">
        <v>47</v>
      </c>
      <c r="Q20" s="7" t="s">
        <v>47</v>
      </c>
      <c r="R20" s="7" t="s">
        <v>47</v>
      </c>
      <c r="S20" s="7" t="s">
        <v>47</v>
      </c>
      <c r="T20" s="7" t="s">
        <v>47</v>
      </c>
      <c r="U20" s="7" t="str">
        <f t="shared" si="1"/>
        <v>Analyse du besoin</v>
      </c>
      <c r="V20" s="13">
        <f t="shared" si="2"/>
        <v>0.8888888889</v>
      </c>
      <c r="W20" s="7" t="str">
        <f t="shared" si="3"/>
        <v>A RELANCER : Analyse du besoin</v>
      </c>
      <c r="X20" s="7" t="str">
        <f t="shared" si="4"/>
        <v/>
      </c>
      <c r="Y20" s="11" t="s">
        <v>74</v>
      </c>
    </row>
    <row r="21" ht="15.0" customHeight="1">
      <c r="A21" s="7" t="s">
        <v>51</v>
      </c>
      <c r="B21" s="7" t="s">
        <v>195</v>
      </c>
      <c r="C21" s="7" t="s">
        <v>196</v>
      </c>
      <c r="D21" s="7" t="s">
        <v>161</v>
      </c>
      <c r="E21" s="7" t="s">
        <v>184</v>
      </c>
      <c r="F21" s="7" t="s">
        <v>185</v>
      </c>
      <c r="G21" s="7" t="s">
        <v>59</v>
      </c>
      <c r="H21" s="7" t="s">
        <v>197</v>
      </c>
      <c r="I21" s="7" t="s">
        <v>198</v>
      </c>
      <c r="J21" s="7" t="s">
        <v>199</v>
      </c>
      <c r="K21" s="7" t="s">
        <v>200</v>
      </c>
      <c r="L21" s="7" t="s">
        <v>44</v>
      </c>
      <c r="M21" s="7" t="str">
        <f>'WEDOF - EXAMEN FINAL'!D21</f>
        <v>A faire</v>
      </c>
      <c r="N21" s="7" t="s">
        <v>47</v>
      </c>
      <c r="O21" s="7" t="s">
        <v>47</v>
      </c>
      <c r="P21" s="7" t="s">
        <v>47</v>
      </c>
      <c r="Q21" s="7" t="s">
        <v>47</v>
      </c>
      <c r="R21" s="7" t="s">
        <v>47</v>
      </c>
      <c r="S21" s="7" t="s">
        <v>47</v>
      </c>
      <c r="T21" s="7" t="s">
        <v>47</v>
      </c>
      <c r="U21" s="7" t="str">
        <f t="shared" si="1"/>
        <v>Analyse du besoin, CV</v>
      </c>
      <c r="V21" s="13">
        <f t="shared" si="2"/>
        <v>0.7777777778</v>
      </c>
      <c r="W21" s="7" t="str">
        <f t="shared" si="3"/>
        <v>A RELANCER : Analyse du besoin, CV</v>
      </c>
      <c r="X21" s="7" t="str">
        <f t="shared" si="4"/>
        <v/>
      </c>
      <c r="Y21" s="11" t="s">
        <v>74</v>
      </c>
    </row>
    <row r="22" ht="15.0" customHeight="1">
      <c r="A22" s="7" t="s">
        <v>51</v>
      </c>
      <c r="B22" s="7" t="s">
        <v>201</v>
      </c>
      <c r="C22" s="7" t="s">
        <v>196</v>
      </c>
      <c r="D22" s="7" t="s">
        <v>161</v>
      </c>
      <c r="E22" s="7" t="s">
        <v>184</v>
      </c>
      <c r="F22" s="7" t="s">
        <v>185</v>
      </c>
      <c r="G22" s="7" t="s">
        <v>59</v>
      </c>
      <c r="H22" s="7" t="s">
        <v>202</v>
      </c>
      <c r="I22" s="7" t="s">
        <v>203</v>
      </c>
      <c r="J22" s="7" t="s">
        <v>204</v>
      </c>
      <c r="K22" s="7" t="s">
        <v>205</v>
      </c>
      <c r="L22" s="7" t="s">
        <v>44</v>
      </c>
      <c r="M22" s="7" t="str">
        <f>'WEDOF - EXAMEN FINAL'!D22</f>
        <v>A faire</v>
      </c>
      <c r="N22" s="7" t="s">
        <v>47</v>
      </c>
      <c r="O22" s="7" t="s">
        <v>47</v>
      </c>
      <c r="P22" s="7" t="s">
        <v>47</v>
      </c>
      <c r="Q22" s="7" t="s">
        <v>47</v>
      </c>
      <c r="R22" s="7" t="s">
        <v>47</v>
      </c>
      <c r="S22" s="7" t="s">
        <v>47</v>
      </c>
      <c r="T22" s="7" t="s">
        <v>47</v>
      </c>
      <c r="U22" s="7" t="str">
        <f t="shared" si="1"/>
        <v>Analyse du besoin, CV</v>
      </c>
      <c r="V22" s="13">
        <f t="shared" si="2"/>
        <v>0.7777777778</v>
      </c>
      <c r="W22" s="7" t="str">
        <f t="shared" si="3"/>
        <v>A RELANCER : Analyse du besoin, CV</v>
      </c>
      <c r="X22" s="7" t="str">
        <f t="shared" si="4"/>
        <v/>
      </c>
      <c r="Y22" s="11" t="s">
        <v>74</v>
      </c>
    </row>
    <row r="23" ht="15.0" customHeight="1">
      <c r="A23" s="7" t="s">
        <v>51</v>
      </c>
      <c r="B23" s="7" t="s">
        <v>206</v>
      </c>
      <c r="C23" s="7" t="s">
        <v>196</v>
      </c>
      <c r="D23" s="7" t="s">
        <v>161</v>
      </c>
      <c r="E23" s="7" t="s">
        <v>184</v>
      </c>
      <c r="F23" s="7" t="s">
        <v>185</v>
      </c>
      <c r="G23" s="7" t="s">
        <v>59</v>
      </c>
      <c r="H23" s="7" t="s">
        <v>207</v>
      </c>
      <c r="I23" s="7" t="s">
        <v>208</v>
      </c>
      <c r="J23" s="7" t="s">
        <v>209</v>
      </c>
      <c r="K23" s="7" t="s">
        <v>210</v>
      </c>
      <c r="L23" s="7" t="s">
        <v>44</v>
      </c>
      <c r="M23" s="7" t="str">
        <f>'WEDOF - EXAMEN FINAL'!D23</f>
        <v>A faire</v>
      </c>
      <c r="N23" s="7" t="s">
        <v>47</v>
      </c>
      <c r="O23" s="7" t="s">
        <v>47</v>
      </c>
      <c r="P23" s="7" t="s">
        <v>47</v>
      </c>
      <c r="Q23" s="7" t="s">
        <v>47</v>
      </c>
      <c r="R23" s="7" t="s">
        <v>47</v>
      </c>
      <c r="S23" s="7" t="s">
        <v>47</v>
      </c>
      <c r="T23" s="7" t="s">
        <v>47</v>
      </c>
      <c r="U23" s="7" t="str">
        <f t="shared" si="1"/>
        <v>Analyse du besoin, CV</v>
      </c>
      <c r="V23" s="13">
        <f t="shared" si="2"/>
        <v>0.7777777778</v>
      </c>
      <c r="W23" s="7" t="str">
        <f t="shared" si="3"/>
        <v>A RELANCER : Analyse du besoin, CV</v>
      </c>
      <c r="X23" s="7" t="str">
        <f t="shared" si="4"/>
        <v/>
      </c>
      <c r="Y23" s="11" t="s">
        <v>74</v>
      </c>
    </row>
    <row r="24" ht="15.0" customHeight="1">
      <c r="A24" s="7" t="s">
        <v>51</v>
      </c>
      <c r="B24" s="7" t="s">
        <v>211</v>
      </c>
      <c r="C24" s="7" t="s">
        <v>76</v>
      </c>
      <c r="D24" s="7" t="s">
        <v>161</v>
      </c>
      <c r="E24" s="7" t="s">
        <v>184</v>
      </c>
      <c r="F24" s="7" t="s">
        <v>185</v>
      </c>
      <c r="G24" s="7" t="s">
        <v>59</v>
      </c>
      <c r="H24" s="7" t="s">
        <v>212</v>
      </c>
      <c r="I24" s="7" t="s">
        <v>213</v>
      </c>
      <c r="J24" s="7" t="s">
        <v>214</v>
      </c>
      <c r="K24" s="7" t="s">
        <v>215</v>
      </c>
      <c r="L24" s="7" t="s">
        <v>44</v>
      </c>
      <c r="M24" s="7" t="str">
        <f>'WEDOF - EXAMEN FINAL'!D24</f>
        <v>A faire</v>
      </c>
      <c r="N24" s="7" t="s">
        <v>47</v>
      </c>
      <c r="O24" s="7" t="s">
        <v>47</v>
      </c>
      <c r="P24" s="7" t="s">
        <v>47</v>
      </c>
      <c r="Q24" s="7" t="s">
        <v>47</v>
      </c>
      <c r="R24" s="7" t="s">
        <v>47</v>
      </c>
      <c r="S24" s="7" t="s">
        <v>47</v>
      </c>
      <c r="T24" s="7" t="s">
        <v>47</v>
      </c>
      <c r="U24" s="7" t="str">
        <f t="shared" si="1"/>
        <v>Analyse du besoin, CV</v>
      </c>
      <c r="V24" s="13">
        <f t="shared" si="2"/>
        <v>0.7777777778</v>
      </c>
      <c r="W24" s="7" t="str">
        <f t="shared" si="3"/>
        <v>A RELANCER : Analyse du besoin, CV</v>
      </c>
      <c r="X24" s="7" t="str">
        <f t="shared" si="4"/>
        <v/>
      </c>
      <c r="Y24" s="11" t="s">
        <v>74</v>
      </c>
    </row>
    <row r="25" ht="15.0" customHeight="1">
      <c r="A25" s="7" t="s">
        <v>51</v>
      </c>
      <c r="B25" s="7" t="s">
        <v>216</v>
      </c>
      <c r="C25" s="7" t="s">
        <v>76</v>
      </c>
      <c r="D25" s="7" t="s">
        <v>161</v>
      </c>
      <c r="E25" s="7" t="s">
        <v>217</v>
      </c>
      <c r="F25" s="7" t="s">
        <v>218</v>
      </c>
      <c r="G25" s="7" t="s">
        <v>59</v>
      </c>
      <c r="H25" s="7" t="s">
        <v>219</v>
      </c>
      <c r="I25" s="7" t="s">
        <v>220</v>
      </c>
      <c r="J25" s="7" t="s">
        <v>221</v>
      </c>
      <c r="K25" s="7" t="s">
        <v>222</v>
      </c>
      <c r="L25" s="7" t="s">
        <v>44</v>
      </c>
      <c r="M25" s="7" t="str">
        <f>'WEDOF - EXAMEN FINAL'!D25</f>
        <v>A faire</v>
      </c>
      <c r="N25" s="7" t="s">
        <v>47</v>
      </c>
      <c r="O25" s="7" t="s">
        <v>44</v>
      </c>
      <c r="P25" s="7" t="s">
        <v>44</v>
      </c>
      <c r="Q25" s="7" t="s">
        <v>47</v>
      </c>
      <c r="R25" s="7" t="s">
        <v>47</v>
      </c>
      <c r="S25" s="7" t="s">
        <v>47</v>
      </c>
      <c r="T25" s="7" t="s">
        <v>44</v>
      </c>
      <c r="U25" s="7" t="str">
        <f t="shared" si="1"/>
        <v>Analyse du besoin, CV, Contrat, Convocation, Document de fin</v>
      </c>
      <c r="V25" s="13">
        <f t="shared" si="2"/>
        <v>0.4444444444</v>
      </c>
      <c r="W25" s="7" t="str">
        <f t="shared" si="3"/>
        <v>A RELANCER : Analyse du besoin, CV, Contrat, Convocation, Document de fin</v>
      </c>
      <c r="X25" s="7" t="str">
        <f t="shared" si="4"/>
        <v/>
      </c>
      <c r="Y25" s="11" t="s">
        <v>74</v>
      </c>
    </row>
    <row r="26" ht="15.0" customHeight="1">
      <c r="A26" s="7" t="s">
        <v>51</v>
      </c>
      <c r="B26" s="7" t="s">
        <v>223</v>
      </c>
      <c r="C26" s="7" t="s">
        <v>76</v>
      </c>
      <c r="D26" s="7" t="s">
        <v>161</v>
      </c>
      <c r="E26" s="7" t="s">
        <v>224</v>
      </c>
      <c r="F26" s="7" t="s">
        <v>218</v>
      </c>
      <c r="G26" s="7" t="s">
        <v>59</v>
      </c>
      <c r="H26" s="7" t="s">
        <v>225</v>
      </c>
      <c r="I26" s="7" t="s">
        <v>226</v>
      </c>
      <c r="J26" s="7" t="s">
        <v>227</v>
      </c>
      <c r="K26" s="7" t="s">
        <v>228</v>
      </c>
      <c r="L26" s="7" t="s">
        <v>44</v>
      </c>
      <c r="M26" s="7" t="str">
        <f>'WEDOF - EXAMEN FINAL'!D26</f>
        <v>A faire</v>
      </c>
      <c r="N26" s="7" t="s">
        <v>47</v>
      </c>
      <c r="O26" s="7" t="s">
        <v>44</v>
      </c>
      <c r="P26" s="7" t="s">
        <v>44</v>
      </c>
      <c r="Q26" s="7" t="s">
        <v>47</v>
      </c>
      <c r="R26" s="7" t="s">
        <v>47</v>
      </c>
      <c r="S26" s="7" t="s">
        <v>47</v>
      </c>
      <c r="T26" s="7" t="s">
        <v>44</v>
      </c>
      <c r="U26" s="7" t="str">
        <f t="shared" si="1"/>
        <v>Analyse du besoin, CV, Contrat, Convocation, Document de fin</v>
      </c>
      <c r="V26" s="13">
        <f t="shared" si="2"/>
        <v>0.4444444444</v>
      </c>
      <c r="W26" s="7" t="str">
        <f t="shared" si="3"/>
        <v>A RELANCER : Analyse du besoin, CV, Contrat, Convocation, Document de fin</v>
      </c>
      <c r="X26" s="7" t="str">
        <f t="shared" si="4"/>
        <v/>
      </c>
      <c r="Y26" s="11" t="s">
        <v>74</v>
      </c>
    </row>
    <row r="27" ht="15.0" customHeight="1">
      <c r="A27" s="7" t="s">
        <v>51</v>
      </c>
      <c r="B27" s="7" t="s">
        <v>229</v>
      </c>
      <c r="C27" s="7" t="s">
        <v>130</v>
      </c>
      <c r="D27" s="7" t="s">
        <v>161</v>
      </c>
      <c r="E27" s="7" t="s">
        <v>224</v>
      </c>
      <c r="F27" s="7" t="s">
        <v>218</v>
      </c>
      <c r="G27" s="7" t="s">
        <v>59</v>
      </c>
      <c r="H27" s="7" t="s">
        <v>230</v>
      </c>
      <c r="I27" s="7" t="s">
        <v>231</v>
      </c>
      <c r="J27" s="7" t="s">
        <v>232</v>
      </c>
      <c r="K27" s="7" t="s">
        <v>233</v>
      </c>
      <c r="L27" s="7" t="s">
        <v>44</v>
      </c>
      <c r="M27" s="7" t="str">
        <f>'WEDOF - EXAMEN FINAL'!D27</f>
        <v>Fait</v>
      </c>
      <c r="N27" s="7" t="s">
        <v>47</v>
      </c>
      <c r="O27" s="7" t="s">
        <v>47</v>
      </c>
      <c r="P27" s="7" t="s">
        <v>44</v>
      </c>
      <c r="Q27" s="7" t="s">
        <v>47</v>
      </c>
      <c r="R27" s="7" t="s">
        <v>47</v>
      </c>
      <c r="S27" s="7" t="s">
        <v>47</v>
      </c>
      <c r="T27" s="7" t="s">
        <v>44</v>
      </c>
      <c r="U27" s="7" t="str">
        <f t="shared" si="1"/>
        <v>Analyse du besoin, Convocation, Document de fin</v>
      </c>
      <c r="V27" s="13">
        <f t="shared" si="2"/>
        <v>0.6666666667</v>
      </c>
      <c r="W27" s="7" t="str">
        <f t="shared" si="3"/>
        <v>A RELANCER : Analyse du besoin, Convocation, Document de fin</v>
      </c>
      <c r="X27" s="7" t="str">
        <f t="shared" si="4"/>
        <v/>
      </c>
      <c r="Y27" s="11" t="s">
        <v>74</v>
      </c>
    </row>
    <row r="28" ht="15.0" customHeight="1">
      <c r="A28" s="7" t="s">
        <v>51</v>
      </c>
      <c r="B28" s="7" t="s">
        <v>234</v>
      </c>
      <c r="C28" s="7" t="s">
        <v>130</v>
      </c>
      <c r="D28" s="7" t="s">
        <v>161</v>
      </c>
      <c r="E28" s="7" t="s">
        <v>235</v>
      </c>
      <c r="F28" s="7" t="s">
        <v>236</v>
      </c>
      <c r="G28" s="7" t="s">
        <v>59</v>
      </c>
      <c r="H28" s="7" t="s">
        <v>237</v>
      </c>
      <c r="I28" s="7" t="s">
        <v>238</v>
      </c>
      <c r="J28" s="7" t="s">
        <v>239</v>
      </c>
      <c r="K28" s="7" t="s">
        <v>240</v>
      </c>
      <c r="L28" s="7" t="s">
        <v>44</v>
      </c>
      <c r="M28" s="7" t="str">
        <f>'WEDOF - EXAMEN FINAL'!D28</f>
        <v>A faire</v>
      </c>
      <c r="N28" s="7" t="s">
        <v>47</v>
      </c>
      <c r="O28" s="7" t="s">
        <v>47</v>
      </c>
      <c r="P28" s="7" t="s">
        <v>44</v>
      </c>
      <c r="Q28" s="7" t="s">
        <v>47</v>
      </c>
      <c r="R28" s="7" t="s">
        <v>47</v>
      </c>
      <c r="S28" s="7" t="s">
        <v>47</v>
      </c>
      <c r="T28" s="7" t="s">
        <v>44</v>
      </c>
      <c r="U28" s="7" t="str">
        <f t="shared" si="1"/>
        <v>Analyse du besoin, CV, Convocation, Document de fin</v>
      </c>
      <c r="V28" s="13">
        <f t="shared" si="2"/>
        <v>0.5555555556</v>
      </c>
      <c r="W28" s="7" t="str">
        <f t="shared" si="3"/>
        <v>A RELANCER : Analyse du besoin, CV, Convocation, Document de fin</v>
      </c>
      <c r="X28" s="7" t="str">
        <f t="shared" si="4"/>
        <v/>
      </c>
      <c r="Y28" s="11" t="s">
        <v>74</v>
      </c>
    </row>
    <row r="29" ht="15.0" customHeight="1">
      <c r="A29" s="7" t="s">
        <v>51</v>
      </c>
      <c r="B29" s="7" t="s">
        <v>241</v>
      </c>
      <c r="C29" s="7" t="s">
        <v>130</v>
      </c>
      <c r="D29" s="7" t="s">
        <v>161</v>
      </c>
      <c r="E29" s="7" t="s">
        <v>235</v>
      </c>
      <c r="F29" s="7" t="s">
        <v>236</v>
      </c>
      <c r="G29" s="7" t="s">
        <v>59</v>
      </c>
      <c r="H29" s="7" t="s">
        <v>242</v>
      </c>
      <c r="I29" s="7" t="s">
        <v>243</v>
      </c>
      <c r="J29" s="7" t="s">
        <v>244</v>
      </c>
      <c r="K29" s="7" t="s">
        <v>245</v>
      </c>
      <c r="L29" s="7" t="s">
        <v>44</v>
      </c>
      <c r="M29" s="7" t="str">
        <f>'WEDOF - EXAMEN FINAL'!D29</f>
        <v>A faire</v>
      </c>
      <c r="N29" s="7" t="s">
        <v>47</v>
      </c>
      <c r="O29" s="7" t="s">
        <v>44</v>
      </c>
      <c r="P29" s="7" t="s">
        <v>44</v>
      </c>
      <c r="Q29" s="7" t="s">
        <v>47</v>
      </c>
      <c r="R29" s="7" t="s">
        <v>47</v>
      </c>
      <c r="S29" s="7" t="s">
        <v>47</v>
      </c>
      <c r="T29" s="7" t="s">
        <v>44</v>
      </c>
      <c r="U29" s="7" t="str">
        <f t="shared" si="1"/>
        <v>Analyse du besoin, CV, Contrat, Convocation, Document de fin</v>
      </c>
      <c r="V29" s="13">
        <f t="shared" si="2"/>
        <v>0.4444444444</v>
      </c>
      <c r="W29" s="7" t="str">
        <f t="shared" si="3"/>
        <v>A RELANCER : Analyse du besoin, CV, Contrat, Convocation, Document de fin</v>
      </c>
      <c r="X29" s="7" t="str">
        <f t="shared" si="4"/>
        <v/>
      </c>
      <c r="Y29" s="11" t="s">
        <v>74</v>
      </c>
    </row>
    <row r="30" ht="15.0" customHeight="1">
      <c r="A30" s="7" t="s">
        <v>51</v>
      </c>
      <c r="B30" s="7" t="s">
        <v>246</v>
      </c>
      <c r="C30" s="7"/>
      <c r="D30" s="7" t="s">
        <v>161</v>
      </c>
      <c r="E30" s="7" t="s">
        <v>247</v>
      </c>
      <c r="F30" s="7" t="s">
        <v>248</v>
      </c>
      <c r="G30" s="7" t="s">
        <v>249</v>
      </c>
      <c r="H30" s="7" t="s">
        <v>250</v>
      </c>
      <c r="I30" s="7" t="s">
        <v>251</v>
      </c>
      <c r="J30" s="7" t="s">
        <v>252</v>
      </c>
      <c r="K30" s="7" t="s">
        <v>253</v>
      </c>
      <c r="L30" s="7" t="s">
        <v>44</v>
      </c>
      <c r="M30" s="7" t="str">
        <f>'WEDOF - EXAMEN FINAL'!D30</f>
        <v>A faire</v>
      </c>
      <c r="N30" s="7" t="s">
        <v>47</v>
      </c>
      <c r="O30" s="7" t="s">
        <v>44</v>
      </c>
      <c r="P30" s="7" t="s">
        <v>44</v>
      </c>
      <c r="Q30" s="7" t="s">
        <v>47</v>
      </c>
      <c r="R30" s="7" t="s">
        <v>47</v>
      </c>
      <c r="S30" s="7" t="s">
        <v>47</v>
      </c>
      <c r="T30" s="7" t="s">
        <v>44</v>
      </c>
      <c r="U30" s="7" t="str">
        <f t="shared" si="1"/>
        <v>Analyse du besoin, CV, Contrat, Convocation, Document de fin</v>
      </c>
      <c r="V30" s="13">
        <f t="shared" si="2"/>
        <v>0.4444444444</v>
      </c>
      <c r="W30" s="7" t="str">
        <f t="shared" si="3"/>
        <v>A RELANCER : Analyse du besoin, CV, Contrat, Convocation, Document de fin</v>
      </c>
      <c r="X30" s="7" t="str">
        <f t="shared" si="4"/>
        <v/>
      </c>
      <c r="Y30" s="11" t="s">
        <v>74</v>
      </c>
    </row>
    <row r="31" ht="15.0" customHeight="1">
      <c r="A31" s="7" t="s">
        <v>51</v>
      </c>
      <c r="B31" s="7" t="s">
        <v>254</v>
      </c>
      <c r="C31" s="7" t="s">
        <v>130</v>
      </c>
      <c r="D31" s="7" t="s">
        <v>161</v>
      </c>
      <c r="E31" s="7" t="s">
        <v>247</v>
      </c>
      <c r="F31" s="7" t="s">
        <v>248</v>
      </c>
      <c r="G31" s="7" t="s">
        <v>249</v>
      </c>
      <c r="H31" s="7" t="s">
        <v>255</v>
      </c>
      <c r="I31" s="7" t="s">
        <v>256</v>
      </c>
      <c r="J31" s="7" t="s">
        <v>257</v>
      </c>
      <c r="K31" s="7" t="s">
        <v>258</v>
      </c>
      <c r="L31" s="7" t="s">
        <v>44</v>
      </c>
      <c r="M31" s="7" t="str">
        <f>'WEDOF - EXAMEN FINAL'!D31</f>
        <v>A faire</v>
      </c>
      <c r="N31" s="7" t="s">
        <v>47</v>
      </c>
      <c r="O31" s="7" t="s">
        <v>44</v>
      </c>
      <c r="P31" s="7" t="s">
        <v>44</v>
      </c>
      <c r="Q31" s="7" t="s">
        <v>47</v>
      </c>
      <c r="R31" s="7" t="s">
        <v>47</v>
      </c>
      <c r="S31" s="7" t="s">
        <v>47</v>
      </c>
      <c r="T31" s="7" t="s">
        <v>44</v>
      </c>
      <c r="U31" s="7" t="str">
        <f t="shared" si="1"/>
        <v>Analyse du besoin, CV, Contrat, Convocation, Document de fin</v>
      </c>
      <c r="V31" s="13">
        <f t="shared" si="2"/>
        <v>0.4444444444</v>
      </c>
      <c r="W31" s="7" t="str">
        <f t="shared" si="3"/>
        <v>A RELANCER : Analyse du besoin, CV, Contrat, Convocation, Document de fin</v>
      </c>
      <c r="X31" s="7" t="str">
        <f t="shared" si="4"/>
        <v/>
      </c>
      <c r="Y31" s="11" t="s">
        <v>74</v>
      </c>
    </row>
    <row r="32" ht="15.0" customHeight="1">
      <c r="A32" s="7" t="s">
        <v>51</v>
      </c>
      <c r="B32" s="7" t="s">
        <v>259</v>
      </c>
      <c r="C32" s="7" t="s">
        <v>260</v>
      </c>
      <c r="D32" s="7" t="s">
        <v>261</v>
      </c>
      <c r="E32" s="7" t="s">
        <v>262</v>
      </c>
      <c r="F32" s="7" t="s">
        <v>263</v>
      </c>
      <c r="G32" s="7" t="s">
        <v>249</v>
      </c>
      <c r="H32" s="7" t="s">
        <v>264</v>
      </c>
      <c r="I32" s="7" t="s">
        <v>265</v>
      </c>
      <c r="J32" s="7" t="s">
        <v>266</v>
      </c>
      <c r="K32" s="7" t="s">
        <v>267</v>
      </c>
      <c r="L32" s="7" t="s">
        <v>44</v>
      </c>
      <c r="M32" s="7" t="str">
        <f>'WEDOF - EXAMEN FINAL'!D32</f>
        <v>A faire</v>
      </c>
      <c r="N32" s="7" t="s">
        <v>44</v>
      </c>
      <c r="O32" s="7" t="s">
        <v>44</v>
      </c>
      <c r="P32" s="7" t="s">
        <v>44</v>
      </c>
      <c r="Q32" s="7" t="s">
        <v>44</v>
      </c>
      <c r="R32" s="7" t="s">
        <v>44</v>
      </c>
      <c r="S32" s="7" t="s">
        <v>44</v>
      </c>
      <c r="T32" s="7" t="s">
        <v>44</v>
      </c>
      <c r="U32" s="7" t="str">
        <f t="shared" si="1"/>
        <v>Analyse du besoin, CV, Questionnaire/Test, Contrat, Convocation, Eval intermediaire, Eval finale, Questionnaire satisfaction, Document de fin</v>
      </c>
      <c r="V32" s="13">
        <f t="shared" si="2"/>
        <v>0</v>
      </c>
      <c r="W32" s="7" t="str">
        <f t="shared" si="3"/>
        <v>A RELANCER : Analyse du besoin, CV, Questionnaire/Test, Contrat, Convocation, Eval intermediaire, Eval finale, Questionnaire satisfaction, Document de fin</v>
      </c>
      <c r="X32" s="7" t="str">
        <f t="shared" si="4"/>
        <v/>
      </c>
      <c r="Y32" s="11" t="s">
        <v>74</v>
      </c>
    </row>
    <row r="33" ht="15.0" customHeight="1">
      <c r="A33" s="7" t="s">
        <v>51</v>
      </c>
      <c r="B33" s="7" t="s">
        <v>259</v>
      </c>
      <c r="C33" s="7" t="s">
        <v>260</v>
      </c>
      <c r="D33" s="7" t="s">
        <v>268</v>
      </c>
      <c r="E33" s="7" t="s">
        <v>269</v>
      </c>
      <c r="F33" s="7" t="s">
        <v>270</v>
      </c>
      <c r="G33" s="7" t="s">
        <v>249</v>
      </c>
      <c r="H33" s="7" t="s">
        <v>264</v>
      </c>
      <c r="I33" s="7" t="s">
        <v>265</v>
      </c>
      <c r="J33" s="7" t="s">
        <v>266</v>
      </c>
      <c r="K33" s="7" t="s">
        <v>267</v>
      </c>
      <c r="L33" s="7" t="s">
        <v>44</v>
      </c>
      <c r="M33" s="7" t="str">
        <f>'WEDOF - EXAMEN FINAL'!D33</f>
        <v>A faire</v>
      </c>
      <c r="N33" s="7" t="s">
        <v>44</v>
      </c>
      <c r="O33" s="7" t="s">
        <v>44</v>
      </c>
      <c r="P33" s="7" t="s">
        <v>44</v>
      </c>
      <c r="Q33" s="7" t="s">
        <v>44</v>
      </c>
      <c r="R33" s="7" t="s">
        <v>44</v>
      </c>
      <c r="S33" s="7" t="s">
        <v>44</v>
      </c>
      <c r="T33" s="7" t="s">
        <v>44</v>
      </c>
      <c r="U33" s="7" t="str">
        <f t="shared" si="1"/>
        <v>Analyse du besoin, CV, Questionnaire/Test, Contrat, Convocation, Eval intermediaire, Eval finale, Questionnaire satisfaction, Document de fin</v>
      </c>
      <c r="V33" s="13">
        <f t="shared" si="2"/>
        <v>0</v>
      </c>
      <c r="W33" s="7" t="str">
        <f t="shared" si="3"/>
        <v>A RELANCER : Analyse du besoin, CV, Questionnaire/Test, Contrat, Convocation, Eval intermediaire, Eval finale, Questionnaire satisfaction, Document de fin</v>
      </c>
      <c r="X33" s="7" t="str">
        <f t="shared" si="4"/>
        <v/>
      </c>
      <c r="Y33" s="11" t="s">
        <v>74</v>
      </c>
    </row>
    <row r="34" ht="15.0" customHeight="1">
      <c r="A34" s="7" t="s">
        <v>51</v>
      </c>
      <c r="B34" s="7" t="s">
        <v>259</v>
      </c>
      <c r="C34" s="7" t="s">
        <v>260</v>
      </c>
      <c r="D34" s="7" t="s">
        <v>56</v>
      </c>
      <c r="E34" s="7" t="s">
        <v>271</v>
      </c>
      <c r="F34" s="7" t="s">
        <v>272</v>
      </c>
      <c r="G34" s="7" t="s">
        <v>249</v>
      </c>
      <c r="H34" s="7" t="s">
        <v>264</v>
      </c>
      <c r="I34" s="7" t="s">
        <v>265</v>
      </c>
      <c r="J34" s="7" t="s">
        <v>266</v>
      </c>
      <c r="K34" s="7" t="s">
        <v>267</v>
      </c>
      <c r="L34" s="7" t="s">
        <v>44</v>
      </c>
      <c r="M34" s="7" t="str">
        <f>'WEDOF - EXAMEN FINAL'!D34</f>
        <v>A faire</v>
      </c>
      <c r="N34" s="7" t="s">
        <v>44</v>
      </c>
      <c r="O34" s="7" t="s">
        <v>44</v>
      </c>
      <c r="P34" s="7" t="s">
        <v>44</v>
      </c>
      <c r="Q34" s="7" t="s">
        <v>44</v>
      </c>
      <c r="R34" s="7" t="s">
        <v>44</v>
      </c>
      <c r="S34" s="7" t="s">
        <v>44</v>
      </c>
      <c r="T34" s="7" t="s">
        <v>44</v>
      </c>
      <c r="U34" s="7" t="str">
        <f t="shared" si="1"/>
        <v>Analyse du besoin, CV, Questionnaire/Test, Contrat, Convocation, Eval intermediaire, Eval finale, Questionnaire satisfaction, Document de fin</v>
      </c>
      <c r="V34" s="13">
        <f t="shared" si="2"/>
        <v>0</v>
      </c>
      <c r="W34" s="7" t="str">
        <f t="shared" si="3"/>
        <v>A RELANCER : Analyse du besoin, CV, Questionnaire/Test, Contrat, Convocation, Eval intermediaire, Eval finale, Questionnaire satisfaction, Document de fin</v>
      </c>
      <c r="X34" s="7" t="str">
        <f t="shared" si="4"/>
        <v/>
      </c>
      <c r="Y34" s="11" t="s">
        <v>74</v>
      </c>
    </row>
    <row r="35" ht="15.0" customHeight="1">
      <c r="A35" s="7" t="s">
        <v>51</v>
      </c>
      <c r="B35" s="7" t="s">
        <v>273</v>
      </c>
      <c r="C35" s="7" t="s">
        <v>274</v>
      </c>
      <c r="D35" s="7" t="s">
        <v>161</v>
      </c>
      <c r="E35" s="7" t="s">
        <v>262</v>
      </c>
      <c r="F35" s="7" t="s">
        <v>263</v>
      </c>
      <c r="G35" s="7" t="s">
        <v>249</v>
      </c>
      <c r="H35" s="7" t="s">
        <v>275</v>
      </c>
      <c r="I35" s="7" t="s">
        <v>276</v>
      </c>
      <c r="J35" s="7" t="s">
        <v>277</v>
      </c>
      <c r="K35" s="7" t="s">
        <v>278</v>
      </c>
      <c r="L35" s="7" t="s">
        <v>44</v>
      </c>
      <c r="M35" s="7" t="str">
        <f>'WEDOF - EXAMEN FINAL'!D35</f>
        <v>A faire</v>
      </c>
      <c r="N35" s="7" t="s">
        <v>47</v>
      </c>
      <c r="O35" s="7" t="s">
        <v>44</v>
      </c>
      <c r="P35" s="7" t="s">
        <v>44</v>
      </c>
      <c r="Q35" s="7" t="s">
        <v>47</v>
      </c>
      <c r="R35" s="7" t="s">
        <v>47</v>
      </c>
      <c r="S35" s="7" t="s">
        <v>47</v>
      </c>
      <c r="T35" s="7" t="s">
        <v>44</v>
      </c>
      <c r="U35" s="7" t="str">
        <f t="shared" si="1"/>
        <v>Analyse du besoin, CV, Contrat, Convocation, Document de fin</v>
      </c>
      <c r="V35" s="13">
        <f t="shared" si="2"/>
        <v>0.4444444444</v>
      </c>
      <c r="W35" s="7" t="str">
        <f t="shared" si="3"/>
        <v>A RELANCER : Analyse du besoin, CV, Contrat, Convocation, Document de fin</v>
      </c>
      <c r="X35" s="7" t="str">
        <f t="shared" si="4"/>
        <v/>
      </c>
      <c r="Y35" s="11" t="s">
        <v>74</v>
      </c>
    </row>
    <row r="36" ht="15.0" customHeight="1">
      <c r="A36" s="7" t="s">
        <v>51</v>
      </c>
      <c r="B36" s="7" t="s">
        <v>279</v>
      </c>
      <c r="C36" s="7" t="s">
        <v>130</v>
      </c>
      <c r="D36" s="7"/>
      <c r="E36" s="7" t="s">
        <v>262</v>
      </c>
      <c r="F36" s="7" t="s">
        <v>263</v>
      </c>
      <c r="G36" s="7" t="s">
        <v>249</v>
      </c>
      <c r="H36" s="7"/>
      <c r="I36" s="7"/>
      <c r="J36" s="7"/>
      <c r="K36" s="7"/>
      <c r="L36" s="7" t="s">
        <v>44</v>
      </c>
      <c r="M36" s="7" t="str">
        <f>'WEDOF - EXAMEN FINAL'!D36</f>
        <v>A faire</v>
      </c>
      <c r="N36" s="7" t="s">
        <v>47</v>
      </c>
      <c r="O36" s="7" t="s">
        <v>44</v>
      </c>
      <c r="P36" s="7" t="s">
        <v>44</v>
      </c>
      <c r="Q36" s="7" t="s">
        <v>44</v>
      </c>
      <c r="R36" s="7" t="s">
        <v>44</v>
      </c>
      <c r="S36" s="7" t="s">
        <v>44</v>
      </c>
      <c r="T36" s="7" t="s">
        <v>44</v>
      </c>
      <c r="U36" s="7" t="str">
        <f t="shared" si="1"/>
        <v>Analyse du besoin, CV, Contrat, Convocation, Eval intermediaire, Eval finale, Questionnaire satisfaction, Document de fin</v>
      </c>
      <c r="V36" s="13">
        <f t="shared" si="2"/>
        <v>0.1111111111</v>
      </c>
      <c r="W36" s="7" t="str">
        <f t="shared" si="3"/>
        <v>A RELANCER : Analyse du besoin, CV, Contrat, Convocation, Eval intermediaire, Eval finale, Questionnaire satisfaction, Document de fin</v>
      </c>
      <c r="X36" s="7" t="str">
        <f t="shared" si="4"/>
        <v/>
      </c>
      <c r="Y36" s="11" t="s">
        <v>74</v>
      </c>
    </row>
    <row r="37" ht="15.0" customHeight="1">
      <c r="A37" s="7" t="s">
        <v>51</v>
      </c>
      <c r="B37" s="7" t="s">
        <v>279</v>
      </c>
      <c r="C37" s="7" t="s">
        <v>130</v>
      </c>
      <c r="D37" s="7" t="s">
        <v>268</v>
      </c>
      <c r="E37" s="7" t="s">
        <v>269</v>
      </c>
      <c r="F37" s="7" t="s">
        <v>270</v>
      </c>
      <c r="G37" s="7" t="s">
        <v>249</v>
      </c>
      <c r="H37" s="7"/>
      <c r="I37" s="7"/>
      <c r="J37" s="7"/>
      <c r="K37" s="7"/>
      <c r="L37" s="7" t="s">
        <v>44</v>
      </c>
      <c r="M37" s="7" t="str">
        <f>'WEDOF - EXAMEN FINAL'!D37</f>
        <v>A faire</v>
      </c>
      <c r="N37" s="7" t="s">
        <v>47</v>
      </c>
      <c r="O37" s="7" t="s">
        <v>44</v>
      </c>
      <c r="P37" s="7" t="s">
        <v>44</v>
      </c>
      <c r="Q37" s="7" t="s">
        <v>44</v>
      </c>
      <c r="R37" s="7" t="s">
        <v>44</v>
      </c>
      <c r="S37" s="7" t="s">
        <v>44</v>
      </c>
      <c r="T37" s="7" t="s">
        <v>44</v>
      </c>
      <c r="U37" s="7" t="str">
        <f t="shared" si="1"/>
        <v>Analyse du besoin, CV, Contrat, Convocation, Eval intermediaire, Eval finale, Questionnaire satisfaction, Document de fin</v>
      </c>
      <c r="V37" s="13">
        <f t="shared" si="2"/>
        <v>0.1111111111</v>
      </c>
      <c r="W37" s="7" t="str">
        <f t="shared" si="3"/>
        <v>A RELANCER : Analyse du besoin, CV, Contrat, Convocation, Eval intermediaire, Eval finale, Questionnaire satisfaction, Document de fin</v>
      </c>
      <c r="X37" s="7" t="str">
        <f t="shared" si="4"/>
        <v/>
      </c>
      <c r="Y37" s="11" t="s">
        <v>74</v>
      </c>
    </row>
    <row r="38" ht="15.0" customHeight="1">
      <c r="A38" s="7" t="s">
        <v>51</v>
      </c>
      <c r="B38" s="7" t="s">
        <v>280</v>
      </c>
      <c r="C38" s="7" t="s">
        <v>281</v>
      </c>
      <c r="D38" s="7" t="s">
        <v>161</v>
      </c>
      <c r="E38" s="7" t="s">
        <v>262</v>
      </c>
      <c r="F38" s="7" t="s">
        <v>263</v>
      </c>
      <c r="G38" s="7" t="s">
        <v>249</v>
      </c>
      <c r="H38" s="7" t="s">
        <v>282</v>
      </c>
      <c r="I38" s="7" t="s">
        <v>283</v>
      </c>
      <c r="J38" s="7" t="s">
        <v>284</v>
      </c>
      <c r="K38" s="7" t="s">
        <v>285</v>
      </c>
      <c r="L38" s="7" t="s">
        <v>44</v>
      </c>
      <c r="M38" s="7" t="str">
        <f>'WEDOF - EXAMEN FINAL'!D38</f>
        <v>A faire</v>
      </c>
      <c r="N38" s="7" t="s">
        <v>47</v>
      </c>
      <c r="O38" s="7" t="s">
        <v>44</v>
      </c>
      <c r="P38" s="7" t="s">
        <v>44</v>
      </c>
      <c r="Q38" s="7" t="s">
        <v>47</v>
      </c>
      <c r="R38" s="7" t="s">
        <v>47</v>
      </c>
      <c r="S38" s="7" t="s">
        <v>47</v>
      </c>
      <c r="T38" s="7" t="s">
        <v>44</v>
      </c>
      <c r="U38" s="7" t="str">
        <f t="shared" si="1"/>
        <v>Analyse du besoin, CV, Contrat, Convocation, Document de fin</v>
      </c>
      <c r="V38" s="13">
        <f t="shared" si="2"/>
        <v>0.4444444444</v>
      </c>
      <c r="W38" s="7" t="str">
        <f t="shared" si="3"/>
        <v>A RELANCER : Analyse du besoin, CV, Contrat, Convocation, Document de fin</v>
      </c>
      <c r="X38" s="7" t="str">
        <f t="shared" si="4"/>
        <v/>
      </c>
      <c r="Y38" s="11" t="s">
        <v>74</v>
      </c>
    </row>
    <row r="39" ht="15.0" customHeight="1">
      <c r="A39" s="7" t="s">
        <v>51</v>
      </c>
      <c r="B39" s="7" t="s">
        <v>286</v>
      </c>
      <c r="C39" s="7" t="s">
        <v>287</v>
      </c>
      <c r="D39" s="7" t="s">
        <v>161</v>
      </c>
      <c r="E39" s="7" t="s">
        <v>262</v>
      </c>
      <c r="F39" s="7" t="s">
        <v>263</v>
      </c>
      <c r="G39" s="7" t="s">
        <v>249</v>
      </c>
      <c r="H39" s="7" t="s">
        <v>288</v>
      </c>
      <c r="I39" s="7" t="s">
        <v>289</v>
      </c>
      <c r="J39" s="7" t="s">
        <v>290</v>
      </c>
      <c r="K39" s="7" t="s">
        <v>291</v>
      </c>
      <c r="L39" s="7" t="s">
        <v>44</v>
      </c>
      <c r="M39" s="7" t="str">
        <f>'WEDOF - EXAMEN FINAL'!D39</f>
        <v>A faire</v>
      </c>
      <c r="N39" s="7" t="s">
        <v>47</v>
      </c>
      <c r="O39" s="7" t="s">
        <v>44</v>
      </c>
      <c r="P39" s="7" t="s">
        <v>44</v>
      </c>
      <c r="Q39" s="7" t="s">
        <v>47</v>
      </c>
      <c r="R39" s="7" t="s">
        <v>47</v>
      </c>
      <c r="S39" s="7" t="s">
        <v>47</v>
      </c>
      <c r="T39" s="7" t="s">
        <v>44</v>
      </c>
      <c r="U39" s="7" t="str">
        <f t="shared" si="1"/>
        <v>Analyse du besoin, CV, Contrat, Convocation, Document de fin</v>
      </c>
      <c r="V39" s="13">
        <f t="shared" si="2"/>
        <v>0.4444444444</v>
      </c>
      <c r="W39" s="7" t="str">
        <f t="shared" si="3"/>
        <v>A RELANCER : Analyse du besoin, CV, Contrat, Convocation, Document de fin</v>
      </c>
      <c r="X39" s="7" t="str">
        <f t="shared" si="4"/>
        <v/>
      </c>
      <c r="Y39" s="11" t="s">
        <v>74</v>
      </c>
    </row>
    <row r="40" ht="15.0" customHeight="1">
      <c r="A40" s="7" t="s">
        <v>51</v>
      </c>
      <c r="B40" s="7" t="s">
        <v>292</v>
      </c>
      <c r="C40" s="7" t="s">
        <v>293</v>
      </c>
      <c r="D40" s="7" t="s">
        <v>261</v>
      </c>
      <c r="E40" s="7" t="s">
        <v>271</v>
      </c>
      <c r="F40" s="7" t="s">
        <v>272</v>
      </c>
      <c r="G40" s="7" t="s">
        <v>249</v>
      </c>
      <c r="H40" s="7"/>
      <c r="I40" s="7"/>
      <c r="J40" s="7"/>
      <c r="K40" s="7"/>
      <c r="L40" s="7" t="s">
        <v>44</v>
      </c>
      <c r="M40" s="7" t="str">
        <f>'WEDOF - EXAMEN FINAL'!D40</f>
        <v>A faire</v>
      </c>
      <c r="N40" s="7" t="s">
        <v>44</v>
      </c>
      <c r="O40" s="7" t="s">
        <v>44</v>
      </c>
      <c r="P40" s="7" t="s">
        <v>44</v>
      </c>
      <c r="Q40" s="7" t="s">
        <v>44</v>
      </c>
      <c r="R40" s="7" t="s">
        <v>44</v>
      </c>
      <c r="S40" s="7" t="s">
        <v>44</v>
      </c>
      <c r="T40" s="7" t="s">
        <v>44</v>
      </c>
      <c r="U40" s="7" t="str">
        <f t="shared" si="1"/>
        <v>Analyse du besoin, CV, Questionnaire/Test, Contrat, Convocation, Eval intermediaire, Eval finale, Questionnaire satisfaction, Document de fin</v>
      </c>
      <c r="V40" s="13">
        <f t="shared" si="2"/>
        <v>0</v>
      </c>
      <c r="W40" s="7" t="str">
        <f t="shared" si="3"/>
        <v>A RELANCER : Analyse du besoin, CV, Questionnaire/Test, Contrat, Convocation, Eval intermediaire, Eval finale, Questionnaire satisfaction, Document de fin</v>
      </c>
      <c r="X40" s="7" t="str">
        <f t="shared" si="4"/>
        <v/>
      </c>
      <c r="Y40" s="11" t="s">
        <v>74</v>
      </c>
    </row>
    <row r="41" ht="15.0" customHeight="1">
      <c r="A41" s="7" t="s">
        <v>51</v>
      </c>
      <c r="B41" s="7" t="s">
        <v>292</v>
      </c>
      <c r="C41" s="7" t="s">
        <v>293</v>
      </c>
      <c r="D41" s="7" t="s">
        <v>268</v>
      </c>
      <c r="E41" s="7" t="s">
        <v>269</v>
      </c>
      <c r="F41" s="7" t="s">
        <v>270</v>
      </c>
      <c r="G41" s="7" t="s">
        <v>249</v>
      </c>
      <c r="H41" s="7"/>
      <c r="I41" s="7"/>
      <c r="J41" s="7"/>
      <c r="K41" s="7"/>
      <c r="L41" s="7" t="s">
        <v>44</v>
      </c>
      <c r="M41" s="7" t="str">
        <f>'WEDOF - EXAMEN FINAL'!D41</f>
        <v>A faire</v>
      </c>
      <c r="N41" s="7" t="s">
        <v>44</v>
      </c>
      <c r="O41" s="7" t="s">
        <v>44</v>
      </c>
      <c r="P41" s="7" t="s">
        <v>44</v>
      </c>
      <c r="Q41" s="7" t="s">
        <v>44</v>
      </c>
      <c r="R41" s="7" t="s">
        <v>44</v>
      </c>
      <c r="S41" s="7" t="s">
        <v>44</v>
      </c>
      <c r="T41" s="7" t="s">
        <v>44</v>
      </c>
      <c r="U41" s="7" t="str">
        <f t="shared" si="1"/>
        <v>Analyse du besoin, CV, Questionnaire/Test, Contrat, Convocation, Eval intermediaire, Eval finale, Questionnaire satisfaction, Document de fin</v>
      </c>
      <c r="V41" s="13">
        <f t="shared" si="2"/>
        <v>0</v>
      </c>
      <c r="W41" s="7" t="str">
        <f t="shared" si="3"/>
        <v>A RELANCER : Analyse du besoin, CV, Questionnaire/Test, Contrat, Convocation, Eval intermediaire, Eval finale, Questionnaire satisfaction, Document de fin</v>
      </c>
      <c r="X41" s="7" t="str">
        <f t="shared" si="4"/>
        <v/>
      </c>
      <c r="Y41" s="11" t="s">
        <v>74</v>
      </c>
    </row>
    <row r="42" ht="15.0" customHeight="1">
      <c r="A42" s="7" t="s">
        <v>51</v>
      </c>
      <c r="B42" s="7" t="s">
        <v>294</v>
      </c>
      <c r="C42" s="7" t="s">
        <v>293</v>
      </c>
      <c r="D42" s="7" t="s">
        <v>161</v>
      </c>
      <c r="E42" s="7" t="s">
        <v>269</v>
      </c>
      <c r="F42" s="7" t="s">
        <v>270</v>
      </c>
      <c r="G42" s="7" t="s">
        <v>249</v>
      </c>
      <c r="H42" s="7"/>
      <c r="I42" s="7"/>
      <c r="J42" s="7"/>
      <c r="K42" s="7"/>
      <c r="L42" s="7" t="s">
        <v>44</v>
      </c>
      <c r="M42" s="7" t="str">
        <f>'WEDOF - EXAMEN FINAL'!D42</f>
        <v>A faire</v>
      </c>
      <c r="N42" s="7" t="s">
        <v>44</v>
      </c>
      <c r="O42" s="7" t="s">
        <v>44</v>
      </c>
      <c r="P42" s="7" t="s">
        <v>44</v>
      </c>
      <c r="Q42" s="7" t="s">
        <v>47</v>
      </c>
      <c r="R42" s="7" t="s">
        <v>47</v>
      </c>
      <c r="S42" s="7" t="s">
        <v>47</v>
      </c>
      <c r="T42" s="7" t="s">
        <v>44</v>
      </c>
      <c r="U42" s="7" t="str">
        <f t="shared" si="1"/>
        <v>Analyse du besoin, CV, Questionnaire/Test, Contrat, Convocation, Document de fin</v>
      </c>
      <c r="V42" s="13">
        <f t="shared" si="2"/>
        <v>0.3333333333</v>
      </c>
      <c r="W42" s="7" t="str">
        <f t="shared" si="3"/>
        <v>A RELANCER : Analyse du besoin, CV, Questionnaire/Test, Contrat, Convocation, Document de fin</v>
      </c>
      <c r="X42" s="7" t="str">
        <f t="shared" si="4"/>
        <v/>
      </c>
      <c r="Y42" s="11" t="s">
        <v>74</v>
      </c>
    </row>
    <row r="43" ht="15.0" customHeight="1">
      <c r="A43" s="7" t="s">
        <v>51</v>
      </c>
      <c r="B43" s="7" t="s">
        <v>295</v>
      </c>
      <c r="C43" s="7" t="s">
        <v>260</v>
      </c>
      <c r="D43" s="7" t="s">
        <v>261</v>
      </c>
      <c r="E43" s="7" t="s">
        <v>271</v>
      </c>
      <c r="F43" s="7" t="s">
        <v>272</v>
      </c>
      <c r="G43" s="7" t="s">
        <v>249</v>
      </c>
      <c r="H43" s="7"/>
      <c r="I43" s="7"/>
      <c r="J43" s="7"/>
      <c r="K43" s="7"/>
      <c r="L43" s="7" t="s">
        <v>44</v>
      </c>
      <c r="M43" s="7" t="str">
        <f>'WEDOF - EXAMEN FINAL'!D43</f>
        <v>A faire</v>
      </c>
      <c r="N43" s="7" t="s">
        <v>44</v>
      </c>
      <c r="O43" s="7" t="s">
        <v>44</v>
      </c>
      <c r="P43" s="7" t="s">
        <v>44</v>
      </c>
      <c r="Q43" s="7" t="s">
        <v>44</v>
      </c>
      <c r="R43" s="7" t="s">
        <v>44</v>
      </c>
      <c r="S43" s="7" t="s">
        <v>44</v>
      </c>
      <c r="T43" s="7" t="s">
        <v>44</v>
      </c>
      <c r="U43" s="7" t="str">
        <f t="shared" si="1"/>
        <v>Analyse du besoin, CV, Questionnaire/Test, Contrat, Convocation, Eval intermediaire, Eval finale, Questionnaire satisfaction, Document de fin</v>
      </c>
      <c r="V43" s="13">
        <f t="shared" si="2"/>
        <v>0</v>
      </c>
      <c r="W43" s="7" t="str">
        <f t="shared" si="3"/>
        <v>A RELANCER : Analyse du besoin, CV, Questionnaire/Test, Contrat, Convocation, Eval intermediaire, Eval finale, Questionnaire satisfaction, Document de fin</v>
      </c>
      <c r="X43" s="7" t="str">
        <f t="shared" si="4"/>
        <v/>
      </c>
      <c r="Y43" s="11" t="s">
        <v>74</v>
      </c>
    </row>
    <row r="44" ht="15.0" customHeight="1">
      <c r="A44" s="7" t="s">
        <v>51</v>
      </c>
      <c r="B44" s="7" t="s">
        <v>295</v>
      </c>
      <c r="C44" s="7" t="s">
        <v>260</v>
      </c>
      <c r="D44" s="7" t="s">
        <v>268</v>
      </c>
      <c r="E44" s="7" t="s">
        <v>296</v>
      </c>
      <c r="F44" s="7" t="s">
        <v>297</v>
      </c>
      <c r="G44" s="7" t="s">
        <v>249</v>
      </c>
      <c r="H44" s="7"/>
      <c r="I44" s="7"/>
      <c r="J44" s="7"/>
      <c r="K44" s="7"/>
      <c r="L44" s="7" t="s">
        <v>44</v>
      </c>
      <c r="M44" s="7" t="str">
        <f>'WEDOF - EXAMEN FINAL'!D44</f>
        <v>A faire</v>
      </c>
      <c r="N44" s="7" t="s">
        <v>44</v>
      </c>
      <c r="O44" s="7" t="s">
        <v>44</v>
      </c>
      <c r="P44" s="7" t="s">
        <v>44</v>
      </c>
      <c r="Q44" s="7" t="s">
        <v>44</v>
      </c>
      <c r="R44" s="7" t="s">
        <v>44</v>
      </c>
      <c r="S44" s="7" t="s">
        <v>44</v>
      </c>
      <c r="T44" s="7" t="s">
        <v>44</v>
      </c>
      <c r="U44" s="7" t="str">
        <f t="shared" si="1"/>
        <v>Analyse du besoin, CV, Questionnaire/Test, Contrat, Convocation, Eval intermediaire, Eval finale, Questionnaire satisfaction, Document de fin</v>
      </c>
      <c r="V44" s="13">
        <f t="shared" si="2"/>
        <v>0</v>
      </c>
      <c r="W44" s="7" t="str">
        <f t="shared" si="3"/>
        <v>A RELANCER : Analyse du besoin, CV, Questionnaire/Test, Contrat, Convocation, Eval intermediaire, Eval finale, Questionnaire satisfaction, Document de fin</v>
      </c>
      <c r="X44" s="7" t="str">
        <f t="shared" si="4"/>
        <v/>
      </c>
      <c r="Y44" s="11" t="s">
        <v>74</v>
      </c>
    </row>
    <row r="45" ht="15.0" customHeight="1">
      <c r="A45" s="7" t="s">
        <v>51</v>
      </c>
      <c r="B45" s="7" t="s">
        <v>295</v>
      </c>
      <c r="C45" s="7" t="s">
        <v>260</v>
      </c>
      <c r="D45" s="7" t="s">
        <v>56</v>
      </c>
      <c r="E45" s="7" t="s">
        <v>299</v>
      </c>
      <c r="F45" s="7" t="s">
        <v>300</v>
      </c>
      <c r="G45" s="7" t="s">
        <v>249</v>
      </c>
      <c r="H45" s="7"/>
      <c r="I45" s="7"/>
      <c r="J45" s="7"/>
      <c r="K45" s="7"/>
      <c r="L45" s="7" t="s">
        <v>44</v>
      </c>
      <c r="M45" s="7" t="str">
        <f>'WEDOF - EXAMEN FINAL'!D45</f>
        <v>A faire</v>
      </c>
      <c r="N45" s="7" t="s">
        <v>44</v>
      </c>
      <c r="O45" s="7" t="s">
        <v>44</v>
      </c>
      <c r="P45" s="7" t="s">
        <v>44</v>
      </c>
      <c r="Q45" s="7" t="s">
        <v>44</v>
      </c>
      <c r="R45" s="7" t="s">
        <v>44</v>
      </c>
      <c r="S45" s="7" t="s">
        <v>44</v>
      </c>
      <c r="T45" s="7" t="s">
        <v>44</v>
      </c>
      <c r="U45" s="7" t="str">
        <f t="shared" si="1"/>
        <v>Analyse du besoin, CV, Questionnaire/Test, Contrat, Convocation, Eval intermediaire, Eval finale, Questionnaire satisfaction, Document de fin</v>
      </c>
      <c r="V45" s="13">
        <f t="shared" si="2"/>
        <v>0</v>
      </c>
      <c r="W45" s="7" t="str">
        <f t="shared" si="3"/>
        <v>A RELANCER : Analyse du besoin, CV, Questionnaire/Test, Contrat, Convocation, Eval intermediaire, Eval finale, Questionnaire satisfaction, Document de fin</v>
      </c>
      <c r="X45" s="7" t="str">
        <f t="shared" si="4"/>
        <v/>
      </c>
      <c r="Y45" s="11" t="s">
        <v>74</v>
      </c>
    </row>
    <row r="46" ht="15.0" customHeight="1">
      <c r="A46" s="7" t="s">
        <v>51</v>
      </c>
      <c r="B46" s="7" t="s">
        <v>301</v>
      </c>
      <c r="C46" s="7" t="s">
        <v>55</v>
      </c>
      <c r="D46" s="7" t="s">
        <v>56</v>
      </c>
      <c r="E46" s="7" t="s">
        <v>302</v>
      </c>
      <c r="F46" s="7" t="s">
        <v>303</v>
      </c>
      <c r="G46" s="7" t="s">
        <v>249</v>
      </c>
      <c r="H46" s="7"/>
      <c r="I46" s="7"/>
      <c r="J46" s="7"/>
      <c r="K46" s="7"/>
      <c r="L46" s="7" t="s">
        <v>44</v>
      </c>
      <c r="M46" s="7" t="str">
        <f>'WEDOF - EXAMEN FINAL'!D46</f>
        <v>A faire</v>
      </c>
      <c r="N46" s="7" t="s">
        <v>44</v>
      </c>
      <c r="O46" s="7" t="s">
        <v>44</v>
      </c>
      <c r="P46" s="7" t="s">
        <v>44</v>
      </c>
      <c r="Q46" s="7" t="s">
        <v>44</v>
      </c>
      <c r="R46" s="7" t="s">
        <v>44</v>
      </c>
      <c r="S46" s="7" t="s">
        <v>44</v>
      </c>
      <c r="T46" s="7" t="s">
        <v>44</v>
      </c>
      <c r="U46" s="7" t="str">
        <f t="shared" si="1"/>
        <v>Analyse du besoin, CV, Questionnaire/Test, Contrat, Convocation, Eval intermediaire, Eval finale, Questionnaire satisfaction, Document de fin</v>
      </c>
      <c r="V46" s="13">
        <f t="shared" si="2"/>
        <v>0</v>
      </c>
      <c r="W46" s="7" t="str">
        <f t="shared" si="3"/>
        <v/>
      </c>
      <c r="X46" s="7" t="str">
        <f t="shared" si="4"/>
        <v/>
      </c>
      <c r="Y46" s="11" t="s">
        <v>74</v>
      </c>
    </row>
    <row r="47" ht="15.0" customHeight="1">
      <c r="A47" s="7" t="s">
        <v>51</v>
      </c>
      <c r="B47" s="7" t="s">
        <v>304</v>
      </c>
      <c r="C47" s="7" t="s">
        <v>274</v>
      </c>
      <c r="D47" s="7" t="s">
        <v>161</v>
      </c>
      <c r="E47" s="7" t="s">
        <v>271</v>
      </c>
      <c r="F47" s="7" t="s">
        <v>272</v>
      </c>
      <c r="G47" s="7" t="s">
        <v>249</v>
      </c>
      <c r="H47" s="7"/>
      <c r="I47" s="7"/>
      <c r="J47" s="7"/>
      <c r="K47" s="7"/>
      <c r="L47" s="7" t="s">
        <v>44</v>
      </c>
      <c r="M47" s="7" t="str">
        <f>'WEDOF - EXAMEN FINAL'!D47</f>
        <v>A faire</v>
      </c>
      <c r="N47" s="7" t="s">
        <v>44</v>
      </c>
      <c r="O47" s="7" t="s">
        <v>44</v>
      </c>
      <c r="P47" s="7" t="s">
        <v>44</v>
      </c>
      <c r="Q47" s="7" t="s">
        <v>47</v>
      </c>
      <c r="R47" s="7" t="s">
        <v>47</v>
      </c>
      <c r="S47" s="7" t="s">
        <v>47</v>
      </c>
      <c r="T47" s="7" t="s">
        <v>44</v>
      </c>
      <c r="U47" s="7" t="str">
        <f t="shared" si="1"/>
        <v>Analyse du besoin, CV, Questionnaire/Test, Contrat, Convocation, Document de fin</v>
      </c>
      <c r="V47" s="13">
        <f t="shared" si="2"/>
        <v>0.3333333333</v>
      </c>
      <c r="W47" s="7" t="str">
        <f t="shared" si="3"/>
        <v>A RELANCER : Analyse du besoin, CV, Questionnaire/Test, Contrat, Convocation, Document de fin</v>
      </c>
      <c r="X47" s="7" t="str">
        <f t="shared" si="4"/>
        <v/>
      </c>
      <c r="Y47" s="11" t="s">
        <v>74</v>
      </c>
    </row>
    <row r="48" ht="15.0" customHeight="1">
      <c r="A48" s="7" t="s">
        <v>51</v>
      </c>
      <c r="B48" s="7" t="s">
        <v>305</v>
      </c>
      <c r="C48" s="7" t="s">
        <v>306</v>
      </c>
      <c r="D48" s="7" t="s">
        <v>261</v>
      </c>
      <c r="E48" s="7" t="s">
        <v>271</v>
      </c>
      <c r="F48" s="7" t="s">
        <v>272</v>
      </c>
      <c r="G48" s="7" t="s">
        <v>249</v>
      </c>
      <c r="H48" s="7"/>
      <c r="I48" s="7"/>
      <c r="J48" s="7"/>
      <c r="K48" s="7"/>
      <c r="L48" s="7" t="s">
        <v>44</v>
      </c>
      <c r="M48" s="7" t="str">
        <f>'WEDOF - EXAMEN FINAL'!D48</f>
        <v>A faire</v>
      </c>
      <c r="N48" s="7" t="s">
        <v>44</v>
      </c>
      <c r="O48" s="7" t="s">
        <v>44</v>
      </c>
      <c r="P48" s="7" t="s">
        <v>44</v>
      </c>
      <c r="Q48" s="7" t="s">
        <v>44</v>
      </c>
      <c r="R48" s="7" t="s">
        <v>44</v>
      </c>
      <c r="S48" s="7" t="s">
        <v>44</v>
      </c>
      <c r="T48" s="7" t="s">
        <v>44</v>
      </c>
      <c r="U48" s="7" t="str">
        <f t="shared" si="1"/>
        <v>Analyse du besoin, CV, Questionnaire/Test, Contrat, Convocation, Eval intermediaire, Eval finale, Questionnaire satisfaction, Document de fin</v>
      </c>
      <c r="V48" s="13">
        <f t="shared" si="2"/>
        <v>0</v>
      </c>
      <c r="W48" s="7" t="str">
        <f t="shared" si="3"/>
        <v>A RELANCER : Analyse du besoin, CV, Questionnaire/Test, Contrat, Convocation, Eval intermediaire, Eval finale, Questionnaire satisfaction, Document de fin</v>
      </c>
      <c r="X48" s="7" t="str">
        <f t="shared" si="4"/>
        <v/>
      </c>
      <c r="Y48" s="11" t="s">
        <v>74</v>
      </c>
    </row>
    <row r="49" ht="15.0" customHeight="1">
      <c r="A49" s="7" t="s">
        <v>51</v>
      </c>
      <c r="B49" s="7" t="s">
        <v>305</v>
      </c>
      <c r="C49" s="7" t="s">
        <v>306</v>
      </c>
      <c r="D49" s="7" t="s">
        <v>268</v>
      </c>
      <c r="E49" s="7" t="s">
        <v>296</v>
      </c>
      <c r="F49" s="7" t="s">
        <v>297</v>
      </c>
      <c r="G49" s="7" t="s">
        <v>249</v>
      </c>
      <c r="H49" s="7"/>
      <c r="I49" s="7"/>
      <c r="J49" s="7"/>
      <c r="K49" s="7"/>
      <c r="L49" s="7" t="s">
        <v>44</v>
      </c>
      <c r="M49" s="7" t="str">
        <f>'WEDOF - EXAMEN FINAL'!D49</f>
        <v>A faire</v>
      </c>
      <c r="N49" s="7" t="s">
        <v>44</v>
      </c>
      <c r="O49" s="7" t="s">
        <v>44</v>
      </c>
      <c r="P49" s="7" t="s">
        <v>44</v>
      </c>
      <c r="Q49" s="7" t="s">
        <v>44</v>
      </c>
      <c r="R49" s="7" t="s">
        <v>44</v>
      </c>
      <c r="S49" s="7" t="s">
        <v>44</v>
      </c>
      <c r="T49" s="7" t="s">
        <v>44</v>
      </c>
      <c r="U49" s="7" t="str">
        <f t="shared" si="1"/>
        <v>Analyse du besoin, CV, Questionnaire/Test, Contrat, Convocation, Eval intermediaire, Eval finale, Questionnaire satisfaction, Document de fin</v>
      </c>
      <c r="V49" s="13">
        <f t="shared" si="2"/>
        <v>0</v>
      </c>
      <c r="W49" s="7" t="str">
        <f t="shared" si="3"/>
        <v>A RELANCER : Analyse du besoin, CV, Questionnaire/Test, Contrat, Convocation, Eval intermediaire, Eval finale, Questionnaire satisfaction, Document de fin</v>
      </c>
      <c r="X49" s="7" t="str">
        <f t="shared" si="4"/>
        <v/>
      </c>
      <c r="Y49" s="11" t="s">
        <v>74</v>
      </c>
    </row>
    <row r="50" ht="15.0" customHeight="1">
      <c r="A50" s="7" t="s">
        <v>51</v>
      </c>
      <c r="B50" s="7" t="s">
        <v>211</v>
      </c>
      <c r="C50" s="7" t="s">
        <v>76</v>
      </c>
      <c r="D50" s="7" t="s">
        <v>261</v>
      </c>
      <c r="E50" s="7" t="s">
        <v>271</v>
      </c>
      <c r="F50" s="7" t="s">
        <v>272</v>
      </c>
      <c r="G50" s="7" t="s">
        <v>249</v>
      </c>
      <c r="H50" s="7" t="s">
        <v>212</v>
      </c>
      <c r="I50" s="7" t="s">
        <v>213</v>
      </c>
      <c r="J50" s="7" t="s">
        <v>214</v>
      </c>
      <c r="K50" s="7" t="s">
        <v>215</v>
      </c>
      <c r="L50" s="7" t="s">
        <v>44</v>
      </c>
      <c r="M50" s="7" t="str">
        <f>'WEDOF - EXAMEN FINAL'!D50</f>
        <v>A faire</v>
      </c>
      <c r="N50" s="7" t="s">
        <v>44</v>
      </c>
      <c r="O50" s="7" t="s">
        <v>44</v>
      </c>
      <c r="P50" s="7" t="s">
        <v>44</v>
      </c>
      <c r="Q50" s="7" t="s">
        <v>44</v>
      </c>
      <c r="R50" s="7" t="s">
        <v>44</v>
      </c>
      <c r="S50" s="7" t="s">
        <v>44</v>
      </c>
      <c r="T50" s="7" t="s">
        <v>44</v>
      </c>
      <c r="U50" s="7" t="str">
        <f t="shared" si="1"/>
        <v>Analyse du besoin, CV, Questionnaire/Test, Contrat, Convocation, Eval intermediaire, Eval finale, Questionnaire satisfaction, Document de fin</v>
      </c>
      <c r="V50" s="13">
        <f t="shared" si="2"/>
        <v>0</v>
      </c>
      <c r="W50" s="7" t="str">
        <f t="shared" si="3"/>
        <v>A RELANCER : Analyse du besoin, CV, Questionnaire/Test, Contrat, Convocation, Eval intermediaire, Eval finale, Questionnaire satisfaction, Document de fin</v>
      </c>
      <c r="X50" s="7" t="str">
        <f t="shared" si="4"/>
        <v/>
      </c>
      <c r="Y50" s="11" t="s">
        <v>74</v>
      </c>
    </row>
    <row r="51" ht="15.0" customHeight="1">
      <c r="A51" s="7" t="s">
        <v>51</v>
      </c>
      <c r="B51" s="7" t="s">
        <v>211</v>
      </c>
      <c r="C51" s="7" t="s">
        <v>76</v>
      </c>
      <c r="D51" s="7" t="s">
        <v>268</v>
      </c>
      <c r="E51" s="7" t="s">
        <v>296</v>
      </c>
      <c r="F51" s="7" t="s">
        <v>297</v>
      </c>
      <c r="G51" s="7" t="s">
        <v>249</v>
      </c>
      <c r="H51" s="7" t="s">
        <v>212</v>
      </c>
      <c r="I51" s="7" t="s">
        <v>213</v>
      </c>
      <c r="J51" s="7" t="s">
        <v>214</v>
      </c>
      <c r="K51" s="7" t="s">
        <v>215</v>
      </c>
      <c r="L51" s="7" t="s">
        <v>44</v>
      </c>
      <c r="M51" s="7" t="str">
        <f>'WEDOF - EXAMEN FINAL'!D51</f>
        <v>A faire</v>
      </c>
      <c r="N51" s="7" t="s">
        <v>44</v>
      </c>
      <c r="O51" s="7" t="s">
        <v>44</v>
      </c>
      <c r="P51" s="7" t="s">
        <v>44</v>
      </c>
      <c r="Q51" s="7" t="s">
        <v>44</v>
      </c>
      <c r="R51" s="7" t="s">
        <v>44</v>
      </c>
      <c r="S51" s="7" t="s">
        <v>44</v>
      </c>
      <c r="T51" s="7" t="s">
        <v>44</v>
      </c>
      <c r="U51" s="7" t="str">
        <f t="shared" si="1"/>
        <v>Analyse du besoin, CV, Questionnaire/Test, Contrat, Convocation, Eval intermediaire, Eval finale, Questionnaire satisfaction, Document de fin</v>
      </c>
      <c r="V51" s="13">
        <f t="shared" si="2"/>
        <v>0</v>
      </c>
      <c r="W51" s="7" t="str">
        <f t="shared" si="3"/>
        <v>A RELANCER : Analyse du besoin, CV, Questionnaire/Test, Contrat, Convocation, Eval intermediaire, Eval finale, Questionnaire satisfaction, Document de fin</v>
      </c>
      <c r="X51" s="7" t="str">
        <f t="shared" si="4"/>
        <v/>
      </c>
      <c r="Y51" s="11" t="s">
        <v>74</v>
      </c>
    </row>
    <row r="52" ht="15.0" customHeight="1">
      <c r="A52" s="7" t="s">
        <v>51</v>
      </c>
      <c r="B52" s="7" t="s">
        <v>307</v>
      </c>
      <c r="C52" s="7" t="s">
        <v>260</v>
      </c>
      <c r="D52" s="7" t="s">
        <v>261</v>
      </c>
      <c r="E52" s="7" t="s">
        <v>299</v>
      </c>
      <c r="F52" s="7" t="s">
        <v>300</v>
      </c>
      <c r="G52" s="7" t="s">
        <v>249</v>
      </c>
      <c r="H52" s="7"/>
      <c r="I52" s="7"/>
      <c r="J52" s="7"/>
      <c r="K52" s="7"/>
      <c r="L52" s="7" t="s">
        <v>44</v>
      </c>
      <c r="M52" s="7" t="str">
        <f>'WEDOF - EXAMEN FINAL'!D52</f>
        <v>A faire</v>
      </c>
      <c r="N52" s="7" t="s">
        <v>44</v>
      </c>
      <c r="O52" s="7" t="s">
        <v>44</v>
      </c>
      <c r="P52" s="7" t="s">
        <v>44</v>
      </c>
      <c r="Q52" s="7" t="s">
        <v>44</v>
      </c>
      <c r="R52" s="7" t="s">
        <v>44</v>
      </c>
      <c r="S52" s="7" t="s">
        <v>44</v>
      </c>
      <c r="T52" s="7" t="s">
        <v>44</v>
      </c>
      <c r="U52" s="7" t="str">
        <f t="shared" si="1"/>
        <v>Analyse du besoin, CV, Questionnaire/Test, Contrat, Convocation, Eval intermediaire, Eval finale, Questionnaire satisfaction, Document de fin</v>
      </c>
      <c r="V52" s="13">
        <f t="shared" si="2"/>
        <v>0</v>
      </c>
      <c r="W52" s="7" t="str">
        <f t="shared" si="3"/>
        <v>A RELANCER : Analyse du besoin, CV, Questionnaire/Test, Contrat, Convocation, Eval intermediaire, Eval finale, Questionnaire satisfaction, Document de fin</v>
      </c>
      <c r="X52" s="7" t="str">
        <f t="shared" si="4"/>
        <v/>
      </c>
      <c r="Y52" s="11" t="s">
        <v>74</v>
      </c>
    </row>
    <row r="53" ht="15.0" customHeight="1">
      <c r="A53" s="7" t="s">
        <v>51</v>
      </c>
      <c r="B53" s="7" t="s">
        <v>307</v>
      </c>
      <c r="C53" s="7" t="s">
        <v>260</v>
      </c>
      <c r="D53" s="7" t="s">
        <v>268</v>
      </c>
      <c r="E53" s="7" t="s">
        <v>308</v>
      </c>
      <c r="F53" s="7" t="s">
        <v>309</v>
      </c>
      <c r="G53" s="7" t="s">
        <v>249</v>
      </c>
      <c r="H53" s="7"/>
      <c r="I53" s="7"/>
      <c r="J53" s="7"/>
      <c r="K53" s="7"/>
      <c r="L53" s="7" t="s">
        <v>44</v>
      </c>
      <c r="M53" s="7" t="str">
        <f>'WEDOF - EXAMEN FINAL'!D53</f>
        <v>A faire</v>
      </c>
      <c r="N53" s="7" t="s">
        <v>44</v>
      </c>
      <c r="O53" s="7" t="s">
        <v>44</v>
      </c>
      <c r="P53" s="7" t="s">
        <v>44</v>
      </c>
      <c r="Q53" s="7" t="s">
        <v>44</v>
      </c>
      <c r="R53" s="7" t="s">
        <v>44</v>
      </c>
      <c r="S53" s="7" t="s">
        <v>44</v>
      </c>
      <c r="T53" s="7" t="s">
        <v>44</v>
      </c>
      <c r="U53" s="7" t="str">
        <f t="shared" si="1"/>
        <v>Analyse du besoin, CV, Questionnaire/Test, Contrat, Convocation, Eval intermediaire, Eval finale, Questionnaire satisfaction, Document de fin</v>
      </c>
      <c r="V53" s="13">
        <f t="shared" si="2"/>
        <v>0</v>
      </c>
      <c r="W53" s="7" t="str">
        <f t="shared" si="3"/>
        <v/>
      </c>
      <c r="X53" s="7" t="str">
        <f t="shared" si="4"/>
        <v/>
      </c>
      <c r="Y53" s="11" t="s">
        <v>74</v>
      </c>
    </row>
    <row r="54" ht="15.0" customHeight="1">
      <c r="A54" s="7" t="s">
        <v>51</v>
      </c>
      <c r="B54" s="7" t="s">
        <v>307</v>
      </c>
      <c r="C54" s="7" t="s">
        <v>260</v>
      </c>
      <c r="D54" s="7" t="s">
        <v>56</v>
      </c>
      <c r="E54" s="7" t="s">
        <v>310</v>
      </c>
      <c r="F54" s="7" t="s">
        <v>311</v>
      </c>
      <c r="G54" s="7" t="s">
        <v>249</v>
      </c>
      <c r="H54" s="7"/>
      <c r="I54" s="7"/>
      <c r="J54" s="7"/>
      <c r="K54" s="7"/>
      <c r="L54" s="7" t="s">
        <v>44</v>
      </c>
      <c r="M54" s="7" t="str">
        <f>'WEDOF - EXAMEN FINAL'!D54</f>
        <v>A faire</v>
      </c>
      <c r="N54" s="7" t="s">
        <v>44</v>
      </c>
      <c r="O54" s="7" t="s">
        <v>44</v>
      </c>
      <c r="P54" s="7" t="s">
        <v>44</v>
      </c>
      <c r="Q54" s="7" t="s">
        <v>44</v>
      </c>
      <c r="R54" s="7" t="s">
        <v>44</v>
      </c>
      <c r="S54" s="7" t="s">
        <v>44</v>
      </c>
      <c r="T54" s="7" t="s">
        <v>44</v>
      </c>
      <c r="U54" s="7" t="str">
        <f t="shared" si="1"/>
        <v>Analyse du besoin, CV, Questionnaire/Test, Contrat, Convocation, Eval intermediaire, Eval finale, Questionnaire satisfaction, Document de fin</v>
      </c>
      <c r="V54" s="13">
        <f t="shared" si="2"/>
        <v>0</v>
      </c>
      <c r="W54" s="7" t="str">
        <f t="shared" si="3"/>
        <v/>
      </c>
      <c r="X54" s="7" t="str">
        <f t="shared" si="4"/>
        <v/>
      </c>
      <c r="Y54" s="11" t="s">
        <v>74</v>
      </c>
    </row>
    <row r="55" ht="15.0" customHeight="1">
      <c r="A55" s="7" t="s">
        <v>51</v>
      </c>
      <c r="B55" s="7" t="s">
        <v>312</v>
      </c>
      <c r="C55" s="7" t="s">
        <v>130</v>
      </c>
      <c r="D55" s="7" t="s">
        <v>161</v>
      </c>
      <c r="E55" s="7" t="s">
        <v>296</v>
      </c>
      <c r="F55" s="7" t="s">
        <v>297</v>
      </c>
      <c r="G55" s="7" t="s">
        <v>249</v>
      </c>
      <c r="H55" s="7"/>
      <c r="I55" s="7"/>
      <c r="J55" s="7"/>
      <c r="K55" s="7"/>
      <c r="L55" s="7" t="s">
        <v>44</v>
      </c>
      <c r="M55" s="7" t="str">
        <f>'WEDOF - EXAMEN FINAL'!D55</f>
        <v>A faire</v>
      </c>
      <c r="N55" s="7" t="s">
        <v>44</v>
      </c>
      <c r="O55" s="7" t="s">
        <v>44</v>
      </c>
      <c r="P55" s="7" t="s">
        <v>44</v>
      </c>
      <c r="Q55" s="7" t="s">
        <v>47</v>
      </c>
      <c r="R55" s="7" t="s">
        <v>47</v>
      </c>
      <c r="S55" s="7" t="s">
        <v>47</v>
      </c>
      <c r="T55" s="7" t="s">
        <v>44</v>
      </c>
      <c r="U55" s="7" t="str">
        <f t="shared" si="1"/>
        <v>Analyse du besoin, CV, Questionnaire/Test, Contrat, Convocation, Document de fin</v>
      </c>
      <c r="V55" s="13">
        <f t="shared" si="2"/>
        <v>0.3333333333</v>
      </c>
      <c r="W55" s="7" t="str">
        <f t="shared" si="3"/>
        <v>A RELANCER : Analyse du besoin, CV, Questionnaire/Test, Contrat, Convocation, Document de fin</v>
      </c>
      <c r="X55" s="7" t="str">
        <f t="shared" si="4"/>
        <v/>
      </c>
      <c r="Y55" s="11" t="s">
        <v>74</v>
      </c>
    </row>
    <row r="56" ht="15.0" customHeight="1">
      <c r="A56" s="7" t="s">
        <v>51</v>
      </c>
      <c r="B56" s="7" t="s">
        <v>313</v>
      </c>
      <c r="C56" s="7" t="s">
        <v>130</v>
      </c>
      <c r="D56" s="7" t="s">
        <v>161</v>
      </c>
      <c r="E56" s="7" t="s">
        <v>296</v>
      </c>
      <c r="F56" s="7" t="s">
        <v>297</v>
      </c>
      <c r="G56" s="7" t="s">
        <v>249</v>
      </c>
      <c r="H56" s="7"/>
      <c r="I56" s="7"/>
      <c r="J56" s="7"/>
      <c r="K56" s="7"/>
      <c r="L56" s="7" t="s">
        <v>44</v>
      </c>
      <c r="M56" s="7" t="str">
        <f>'WEDOF - EXAMEN FINAL'!D56</f>
        <v>A faire</v>
      </c>
      <c r="N56" s="7" t="s">
        <v>44</v>
      </c>
      <c r="O56" s="7" t="s">
        <v>44</v>
      </c>
      <c r="P56" s="7" t="s">
        <v>44</v>
      </c>
      <c r="Q56" s="7" t="s">
        <v>47</v>
      </c>
      <c r="R56" s="7" t="s">
        <v>47</v>
      </c>
      <c r="S56" s="7" t="s">
        <v>47</v>
      </c>
      <c r="T56" s="7" t="s">
        <v>44</v>
      </c>
      <c r="U56" s="7" t="str">
        <f t="shared" si="1"/>
        <v>Analyse du besoin, CV, Questionnaire/Test, Contrat, Convocation, Document de fin</v>
      </c>
      <c r="V56" s="13">
        <f t="shared" si="2"/>
        <v>0.3333333333</v>
      </c>
      <c r="W56" s="7" t="str">
        <f t="shared" si="3"/>
        <v>A RELANCER : Analyse du besoin, CV, Questionnaire/Test, Contrat, Convocation, Document de fin</v>
      </c>
      <c r="X56" s="7" t="str">
        <f t="shared" si="4"/>
        <v/>
      </c>
      <c r="Y56" s="11" t="s">
        <v>74</v>
      </c>
    </row>
    <row r="57" ht="15.0" customHeight="1">
      <c r="A57" s="7" t="s">
        <v>51</v>
      </c>
      <c r="B57" s="7" t="s">
        <v>314</v>
      </c>
      <c r="C57" s="7" t="s">
        <v>130</v>
      </c>
      <c r="D57" s="7" t="s">
        <v>161</v>
      </c>
      <c r="E57" s="7" t="s">
        <v>296</v>
      </c>
      <c r="F57" s="7" t="s">
        <v>297</v>
      </c>
      <c r="G57" s="7" t="s">
        <v>249</v>
      </c>
      <c r="H57" s="7"/>
      <c r="I57" s="7"/>
      <c r="J57" s="7"/>
      <c r="K57" s="7"/>
      <c r="L57" s="7" t="s">
        <v>44</v>
      </c>
      <c r="M57" s="7" t="str">
        <f>'WEDOF - EXAMEN FINAL'!D57</f>
        <v>A faire</v>
      </c>
      <c r="N57" s="7" t="s">
        <v>44</v>
      </c>
      <c r="O57" s="7" t="s">
        <v>44</v>
      </c>
      <c r="P57" s="7" t="s">
        <v>44</v>
      </c>
      <c r="Q57" s="7" t="s">
        <v>47</v>
      </c>
      <c r="R57" s="7" t="s">
        <v>47</v>
      </c>
      <c r="S57" s="7" t="s">
        <v>47</v>
      </c>
      <c r="T57" s="7" t="s">
        <v>44</v>
      </c>
      <c r="U57" s="7" t="str">
        <f t="shared" si="1"/>
        <v>Analyse du besoin, CV, Questionnaire/Test, Contrat, Convocation, Document de fin</v>
      </c>
      <c r="V57" s="13">
        <f t="shared" si="2"/>
        <v>0.3333333333</v>
      </c>
      <c r="W57" s="7" t="str">
        <f t="shared" si="3"/>
        <v>A RELANCER : Analyse du besoin, CV, Questionnaire/Test, Contrat, Convocation, Document de fin</v>
      </c>
      <c r="X57" s="7" t="str">
        <f t="shared" si="4"/>
        <v/>
      </c>
      <c r="Y57" s="11" t="s">
        <v>74</v>
      </c>
    </row>
    <row r="58" ht="15.0" customHeight="1">
      <c r="A58" s="7" t="s">
        <v>51</v>
      </c>
      <c r="B58" s="7" t="s">
        <v>315</v>
      </c>
      <c r="C58" s="7" t="s">
        <v>316</v>
      </c>
      <c r="D58" s="7" t="s">
        <v>261</v>
      </c>
      <c r="E58" s="7" t="s">
        <v>299</v>
      </c>
      <c r="F58" s="7" t="s">
        <v>300</v>
      </c>
      <c r="G58" s="7" t="s">
        <v>249</v>
      </c>
      <c r="H58" s="7"/>
      <c r="I58" s="7"/>
      <c r="J58" s="7"/>
      <c r="K58" s="7"/>
      <c r="L58" s="7" t="s">
        <v>44</v>
      </c>
      <c r="M58" s="7" t="str">
        <f>'WEDOF - EXAMEN FINAL'!D58</f>
        <v>A faire</v>
      </c>
      <c r="N58" s="7" t="s">
        <v>44</v>
      </c>
      <c r="O58" s="7" t="s">
        <v>44</v>
      </c>
      <c r="P58" s="7" t="s">
        <v>44</v>
      </c>
      <c r="Q58" s="7" t="s">
        <v>44</v>
      </c>
      <c r="R58" s="7" t="s">
        <v>44</v>
      </c>
      <c r="S58" s="7" t="s">
        <v>44</v>
      </c>
      <c r="T58" s="7" t="s">
        <v>44</v>
      </c>
      <c r="U58" s="7" t="str">
        <f t="shared" si="1"/>
        <v>Analyse du besoin, CV, Questionnaire/Test, Contrat, Convocation, Eval intermediaire, Eval finale, Questionnaire satisfaction, Document de fin</v>
      </c>
      <c r="V58" s="13">
        <f t="shared" si="2"/>
        <v>0</v>
      </c>
      <c r="W58" s="7" t="str">
        <f t="shared" si="3"/>
        <v>A RELANCER : Analyse du besoin, CV, Questionnaire/Test, Contrat, Convocation, Eval intermediaire, Eval finale, Questionnaire satisfaction, Document de fin</v>
      </c>
      <c r="X58" s="7" t="str">
        <f t="shared" si="4"/>
        <v/>
      </c>
      <c r="Y58" s="11" t="s">
        <v>74</v>
      </c>
    </row>
    <row r="59" ht="15.0" customHeight="1">
      <c r="A59" s="7" t="s">
        <v>51</v>
      </c>
      <c r="B59" s="7" t="s">
        <v>315</v>
      </c>
      <c r="C59" s="7" t="s">
        <v>316</v>
      </c>
      <c r="D59" s="7" t="s">
        <v>268</v>
      </c>
      <c r="E59" s="7" t="s">
        <v>308</v>
      </c>
      <c r="F59" s="7" t="s">
        <v>309</v>
      </c>
      <c r="G59" s="7" t="s">
        <v>249</v>
      </c>
      <c r="H59" s="7"/>
      <c r="I59" s="7"/>
      <c r="J59" s="7"/>
      <c r="K59" s="7"/>
      <c r="L59" s="7" t="s">
        <v>44</v>
      </c>
      <c r="M59" s="7" t="str">
        <f>'WEDOF - EXAMEN FINAL'!D59</f>
        <v>A faire</v>
      </c>
      <c r="N59" s="7" t="s">
        <v>44</v>
      </c>
      <c r="O59" s="7" t="s">
        <v>44</v>
      </c>
      <c r="P59" s="7" t="s">
        <v>44</v>
      </c>
      <c r="Q59" s="7" t="s">
        <v>44</v>
      </c>
      <c r="R59" s="7" t="s">
        <v>44</v>
      </c>
      <c r="S59" s="7" t="s">
        <v>44</v>
      </c>
      <c r="T59" s="7" t="s">
        <v>44</v>
      </c>
      <c r="U59" s="7" t="str">
        <f t="shared" si="1"/>
        <v>Analyse du besoin, CV, Questionnaire/Test, Contrat, Convocation, Eval intermediaire, Eval finale, Questionnaire satisfaction, Document de fin</v>
      </c>
      <c r="V59" s="13">
        <f t="shared" si="2"/>
        <v>0</v>
      </c>
      <c r="W59" s="7" t="str">
        <f t="shared" si="3"/>
        <v/>
      </c>
      <c r="X59" s="7" t="str">
        <f t="shared" si="4"/>
        <v/>
      </c>
      <c r="Y59" s="11" t="s">
        <v>74</v>
      </c>
    </row>
    <row r="60" ht="15.0" customHeight="1">
      <c r="A60" s="7" t="s">
        <v>51</v>
      </c>
      <c r="B60" s="7" t="s">
        <v>317</v>
      </c>
      <c r="C60" s="7" t="s">
        <v>316</v>
      </c>
      <c r="D60" s="7" t="s">
        <v>261</v>
      </c>
      <c r="E60" s="7" t="s">
        <v>299</v>
      </c>
      <c r="F60" s="7" t="s">
        <v>300</v>
      </c>
      <c r="G60" s="7" t="s">
        <v>249</v>
      </c>
      <c r="H60" s="7"/>
      <c r="I60" s="7"/>
      <c r="J60" s="7"/>
      <c r="K60" s="7"/>
      <c r="L60" s="7" t="s">
        <v>44</v>
      </c>
      <c r="M60" s="7" t="str">
        <f>'WEDOF - EXAMEN FINAL'!D60</f>
        <v>A faire</v>
      </c>
      <c r="N60" s="7" t="s">
        <v>44</v>
      </c>
      <c r="O60" s="7" t="s">
        <v>44</v>
      </c>
      <c r="P60" s="7" t="s">
        <v>44</v>
      </c>
      <c r="Q60" s="7" t="s">
        <v>44</v>
      </c>
      <c r="R60" s="7" t="s">
        <v>44</v>
      </c>
      <c r="S60" s="7" t="s">
        <v>44</v>
      </c>
      <c r="T60" s="7" t="s">
        <v>44</v>
      </c>
      <c r="U60" s="7" t="str">
        <f t="shared" si="1"/>
        <v>Analyse du besoin, CV, Questionnaire/Test, Contrat, Convocation, Eval intermediaire, Eval finale, Questionnaire satisfaction, Document de fin</v>
      </c>
      <c r="V60" s="13">
        <f t="shared" si="2"/>
        <v>0</v>
      </c>
      <c r="W60" s="7" t="str">
        <f t="shared" si="3"/>
        <v>A RELANCER : Analyse du besoin, CV, Questionnaire/Test, Contrat, Convocation, Eval intermediaire, Eval finale, Questionnaire satisfaction, Document de fin</v>
      </c>
      <c r="X60" s="7" t="str">
        <f t="shared" si="4"/>
        <v/>
      </c>
      <c r="Y60" s="11" t="s">
        <v>74</v>
      </c>
    </row>
    <row r="61" ht="15.0" customHeight="1">
      <c r="A61" s="7" t="s">
        <v>51</v>
      </c>
      <c r="B61" s="7" t="s">
        <v>317</v>
      </c>
      <c r="C61" s="7" t="s">
        <v>316</v>
      </c>
      <c r="D61" s="7" t="s">
        <v>268</v>
      </c>
      <c r="E61" s="7" t="s">
        <v>308</v>
      </c>
      <c r="F61" s="7" t="s">
        <v>309</v>
      </c>
      <c r="G61" s="7" t="s">
        <v>249</v>
      </c>
      <c r="H61" s="7"/>
      <c r="I61" s="7"/>
      <c r="J61" s="7"/>
      <c r="K61" s="7"/>
      <c r="L61" s="7" t="s">
        <v>44</v>
      </c>
      <c r="M61" s="7" t="str">
        <f>'WEDOF - EXAMEN FINAL'!D61</f>
        <v>A faire</v>
      </c>
      <c r="N61" s="7" t="s">
        <v>44</v>
      </c>
      <c r="O61" s="7" t="s">
        <v>44</v>
      </c>
      <c r="P61" s="7" t="s">
        <v>44</v>
      </c>
      <c r="Q61" s="7" t="s">
        <v>44</v>
      </c>
      <c r="R61" s="7" t="s">
        <v>44</v>
      </c>
      <c r="S61" s="7" t="s">
        <v>44</v>
      </c>
      <c r="T61" s="7" t="s">
        <v>44</v>
      </c>
      <c r="U61" s="7" t="str">
        <f t="shared" si="1"/>
        <v>Analyse du besoin, CV, Questionnaire/Test, Contrat, Convocation, Eval intermediaire, Eval finale, Questionnaire satisfaction, Document de fin</v>
      </c>
      <c r="V61" s="13">
        <f t="shared" si="2"/>
        <v>0</v>
      </c>
      <c r="W61" s="7" t="str">
        <f t="shared" si="3"/>
        <v/>
      </c>
      <c r="X61" s="7" t="str">
        <f t="shared" si="4"/>
        <v/>
      </c>
      <c r="Y61" s="11" t="s">
        <v>74</v>
      </c>
    </row>
    <row r="62" ht="15.0" customHeight="1">
      <c r="A62" s="7" t="s">
        <v>51</v>
      </c>
      <c r="B62" s="7" t="s">
        <v>318</v>
      </c>
      <c r="C62" s="7" t="s">
        <v>55</v>
      </c>
      <c r="D62" s="7" t="s">
        <v>261</v>
      </c>
      <c r="E62" s="7" t="s">
        <v>299</v>
      </c>
      <c r="F62" s="7" t="s">
        <v>300</v>
      </c>
      <c r="G62" s="7" t="s">
        <v>249</v>
      </c>
      <c r="H62" s="7"/>
      <c r="I62" s="7"/>
      <c r="J62" s="7"/>
      <c r="K62" s="7"/>
      <c r="L62" s="7" t="s">
        <v>44</v>
      </c>
      <c r="M62" s="7" t="str">
        <f>'WEDOF - EXAMEN FINAL'!D62</f>
        <v>A faire</v>
      </c>
      <c r="N62" s="7" t="s">
        <v>44</v>
      </c>
      <c r="O62" s="7" t="s">
        <v>44</v>
      </c>
      <c r="P62" s="7" t="s">
        <v>44</v>
      </c>
      <c r="Q62" s="7" t="s">
        <v>44</v>
      </c>
      <c r="R62" s="7" t="s">
        <v>44</v>
      </c>
      <c r="S62" s="7" t="s">
        <v>44</v>
      </c>
      <c r="T62" s="7" t="s">
        <v>44</v>
      </c>
      <c r="U62" s="7" t="str">
        <f t="shared" si="1"/>
        <v>Analyse du besoin, CV, Questionnaire/Test, Contrat, Convocation, Eval intermediaire, Eval finale, Questionnaire satisfaction, Document de fin</v>
      </c>
      <c r="V62" s="13">
        <f t="shared" si="2"/>
        <v>0</v>
      </c>
      <c r="W62" s="7" t="str">
        <f t="shared" si="3"/>
        <v>A RELANCER : Analyse du besoin, CV, Questionnaire/Test, Contrat, Convocation, Eval intermediaire, Eval finale, Questionnaire satisfaction, Document de fin</v>
      </c>
      <c r="X62" s="7" t="str">
        <f t="shared" si="4"/>
        <v/>
      </c>
      <c r="Y62" s="11" t="s">
        <v>74</v>
      </c>
    </row>
    <row r="63" ht="15.0" customHeight="1">
      <c r="A63" s="7" t="s">
        <v>51</v>
      </c>
      <c r="B63" s="7" t="s">
        <v>318</v>
      </c>
      <c r="C63" s="7" t="s">
        <v>55</v>
      </c>
      <c r="D63" s="7" t="s">
        <v>268</v>
      </c>
      <c r="E63" s="7" t="s">
        <v>308</v>
      </c>
      <c r="F63" s="7" t="s">
        <v>309</v>
      </c>
      <c r="G63" s="7" t="s">
        <v>249</v>
      </c>
      <c r="H63" s="7"/>
      <c r="I63" s="7"/>
      <c r="J63" s="7"/>
      <c r="K63" s="7"/>
      <c r="L63" s="7" t="s">
        <v>44</v>
      </c>
      <c r="M63" s="7" t="str">
        <f>'WEDOF - EXAMEN FINAL'!D63</f>
        <v>A faire</v>
      </c>
      <c r="N63" s="7" t="s">
        <v>44</v>
      </c>
      <c r="O63" s="7" t="s">
        <v>44</v>
      </c>
      <c r="P63" s="7" t="s">
        <v>44</v>
      </c>
      <c r="Q63" s="7" t="s">
        <v>44</v>
      </c>
      <c r="R63" s="7" t="s">
        <v>44</v>
      </c>
      <c r="S63" s="7" t="s">
        <v>44</v>
      </c>
      <c r="T63" s="7" t="s">
        <v>44</v>
      </c>
      <c r="U63" s="7" t="str">
        <f t="shared" si="1"/>
        <v>Analyse du besoin, CV, Questionnaire/Test, Contrat, Convocation, Eval intermediaire, Eval finale, Questionnaire satisfaction, Document de fin</v>
      </c>
      <c r="V63" s="13">
        <f t="shared" si="2"/>
        <v>0</v>
      </c>
      <c r="W63" s="7" t="str">
        <f t="shared" si="3"/>
        <v/>
      </c>
      <c r="X63" s="7" t="str">
        <f t="shared" si="4"/>
        <v/>
      </c>
      <c r="Y63" s="11" t="s">
        <v>74</v>
      </c>
    </row>
    <row r="64" ht="15.0" customHeight="1">
      <c r="A64" s="7" t="s">
        <v>51</v>
      </c>
      <c r="B64" s="7" t="s">
        <v>318</v>
      </c>
      <c r="C64" s="7" t="s">
        <v>55</v>
      </c>
      <c r="D64" s="7" t="s">
        <v>56</v>
      </c>
      <c r="E64" s="7" t="s">
        <v>310</v>
      </c>
      <c r="F64" s="7" t="s">
        <v>311</v>
      </c>
      <c r="G64" s="7" t="s">
        <v>249</v>
      </c>
      <c r="H64" s="7"/>
      <c r="I64" s="7"/>
      <c r="J64" s="7"/>
      <c r="K64" s="7"/>
      <c r="L64" s="7" t="s">
        <v>44</v>
      </c>
      <c r="M64" s="7" t="str">
        <f>'WEDOF - EXAMEN FINAL'!D64</f>
        <v>A faire</v>
      </c>
      <c r="N64" s="7" t="s">
        <v>44</v>
      </c>
      <c r="O64" s="7" t="s">
        <v>44</v>
      </c>
      <c r="P64" s="7" t="s">
        <v>44</v>
      </c>
      <c r="Q64" s="7" t="s">
        <v>44</v>
      </c>
      <c r="R64" s="7" t="s">
        <v>44</v>
      </c>
      <c r="S64" s="7" t="s">
        <v>44</v>
      </c>
      <c r="T64" s="7" t="s">
        <v>44</v>
      </c>
      <c r="U64" s="7" t="str">
        <f t="shared" si="1"/>
        <v>Analyse du besoin, CV, Questionnaire/Test, Contrat, Convocation, Eval intermediaire, Eval finale, Questionnaire satisfaction, Document de fin</v>
      </c>
      <c r="V64" s="13">
        <f t="shared" si="2"/>
        <v>0</v>
      </c>
      <c r="W64" s="7" t="str">
        <f t="shared" si="3"/>
        <v/>
      </c>
      <c r="X64" s="7" t="str">
        <f t="shared" si="4"/>
        <v/>
      </c>
      <c r="Y64" s="11" t="s">
        <v>74</v>
      </c>
    </row>
    <row r="65" ht="15.0" customHeight="1">
      <c r="A65" s="7" t="s">
        <v>51</v>
      </c>
      <c r="B65" s="7" t="s">
        <v>319</v>
      </c>
      <c r="C65" s="7" t="s">
        <v>316</v>
      </c>
      <c r="D65" s="7" t="s">
        <v>261</v>
      </c>
      <c r="E65" s="7" t="s">
        <v>310</v>
      </c>
      <c r="F65" s="7" t="s">
        <v>311</v>
      </c>
      <c r="G65" s="7" t="s">
        <v>320</v>
      </c>
      <c r="H65" s="7"/>
      <c r="I65" s="7"/>
      <c r="J65" s="7"/>
      <c r="K65" s="7"/>
      <c r="L65" s="7" t="s">
        <v>44</v>
      </c>
      <c r="M65" s="7" t="str">
        <f>'WEDOF - EXAMEN FINAL'!D65</f>
        <v>A faire</v>
      </c>
      <c r="N65" s="7" t="s">
        <v>44</v>
      </c>
      <c r="O65" s="7" t="s">
        <v>44</v>
      </c>
      <c r="P65" s="7" t="s">
        <v>44</v>
      </c>
      <c r="Q65" s="7" t="s">
        <v>44</v>
      </c>
      <c r="R65" s="7" t="s">
        <v>44</v>
      </c>
      <c r="S65" s="7" t="s">
        <v>44</v>
      </c>
      <c r="T65" s="7" t="s">
        <v>44</v>
      </c>
      <c r="U65" s="7" t="str">
        <f t="shared" si="1"/>
        <v>Analyse du besoin, CV, Questionnaire/Test, Contrat, Convocation, Eval intermediaire, Eval finale, Questionnaire satisfaction, Document de fin</v>
      </c>
      <c r="V65" s="13">
        <f t="shared" si="2"/>
        <v>0</v>
      </c>
      <c r="W65" s="7" t="str">
        <f t="shared" si="3"/>
        <v/>
      </c>
      <c r="X65" s="7" t="str">
        <f t="shared" si="4"/>
        <v/>
      </c>
      <c r="Y65" s="11" t="s">
        <v>74</v>
      </c>
    </row>
    <row r="66" ht="15.0" customHeight="1">
      <c r="A66" s="7" t="s">
        <v>51</v>
      </c>
      <c r="B66" s="7" t="s">
        <v>319</v>
      </c>
      <c r="C66" s="7" t="s">
        <v>316</v>
      </c>
      <c r="D66" s="7" t="s">
        <v>268</v>
      </c>
      <c r="E66" s="7" t="s">
        <v>321</v>
      </c>
      <c r="F66" s="7" t="s">
        <v>322</v>
      </c>
      <c r="G66" s="7" t="s">
        <v>320</v>
      </c>
      <c r="H66" s="7"/>
      <c r="I66" s="7"/>
      <c r="J66" s="7"/>
      <c r="K66" s="7"/>
      <c r="L66" s="7" t="s">
        <v>44</v>
      </c>
      <c r="M66" s="7" t="str">
        <f>'WEDOF - EXAMEN FINAL'!D66</f>
        <v>A faire</v>
      </c>
      <c r="N66" s="7" t="s">
        <v>44</v>
      </c>
      <c r="O66" s="7" t="s">
        <v>44</v>
      </c>
      <c r="P66" s="7" t="s">
        <v>44</v>
      </c>
      <c r="Q66" s="7" t="s">
        <v>44</v>
      </c>
      <c r="R66" s="7" t="s">
        <v>44</v>
      </c>
      <c r="S66" s="7" t="s">
        <v>44</v>
      </c>
      <c r="T66" s="7" t="s">
        <v>44</v>
      </c>
      <c r="U66" s="7" t="str">
        <f t="shared" si="1"/>
        <v>Analyse du besoin, CV, Questionnaire/Test, Contrat, Convocation, Eval intermediaire, Eval finale, Questionnaire satisfaction, Document de fin</v>
      </c>
      <c r="V66" s="13">
        <f t="shared" si="2"/>
        <v>0</v>
      </c>
      <c r="W66" s="7" t="str">
        <f t="shared" si="3"/>
        <v/>
      </c>
      <c r="X66" s="7" t="str">
        <f t="shared" si="4"/>
        <v/>
      </c>
      <c r="Y66" s="11" t="s">
        <v>74</v>
      </c>
    </row>
    <row r="67" ht="15.0" customHeight="1">
      <c r="A67" s="7" t="s">
        <v>51</v>
      </c>
      <c r="B67" s="7" t="s">
        <v>323</v>
      </c>
      <c r="C67" s="7" t="s">
        <v>316</v>
      </c>
      <c r="D67" s="7" t="s">
        <v>261</v>
      </c>
      <c r="E67" s="7" t="s">
        <v>310</v>
      </c>
      <c r="F67" s="7" t="s">
        <v>311</v>
      </c>
      <c r="G67" s="7" t="s">
        <v>249</v>
      </c>
      <c r="H67" s="7"/>
      <c r="I67" s="7"/>
      <c r="J67" s="7"/>
      <c r="K67" s="7"/>
      <c r="L67" s="7" t="s">
        <v>44</v>
      </c>
      <c r="M67" s="7" t="str">
        <f>'WEDOF - EXAMEN FINAL'!D67</f>
        <v>A faire</v>
      </c>
      <c r="N67" s="7" t="s">
        <v>44</v>
      </c>
      <c r="O67" s="7" t="s">
        <v>44</v>
      </c>
      <c r="P67" s="7" t="s">
        <v>44</v>
      </c>
      <c r="Q67" s="7" t="s">
        <v>44</v>
      </c>
      <c r="R67" s="7" t="s">
        <v>44</v>
      </c>
      <c r="S67" s="7" t="s">
        <v>44</v>
      </c>
      <c r="T67" s="7" t="s">
        <v>44</v>
      </c>
      <c r="U67" s="7" t="str">
        <f t="shared" si="1"/>
        <v>Analyse du besoin, CV, Questionnaire/Test, Contrat, Convocation, Eval intermediaire, Eval finale, Questionnaire satisfaction, Document de fin</v>
      </c>
      <c r="V67" s="13">
        <f t="shared" si="2"/>
        <v>0</v>
      </c>
      <c r="W67" s="7" t="str">
        <f t="shared" si="3"/>
        <v/>
      </c>
      <c r="X67" s="7" t="str">
        <f t="shared" si="4"/>
        <v/>
      </c>
      <c r="Y67" s="11" t="s">
        <v>74</v>
      </c>
    </row>
    <row r="68" ht="15.0" customHeight="1">
      <c r="A68" s="7" t="s">
        <v>51</v>
      </c>
      <c r="B68" s="7" t="s">
        <v>323</v>
      </c>
      <c r="C68" s="7" t="s">
        <v>316</v>
      </c>
      <c r="D68" s="7" t="s">
        <v>268</v>
      </c>
      <c r="E68" s="7" t="s">
        <v>321</v>
      </c>
      <c r="F68" s="7" t="s">
        <v>322</v>
      </c>
      <c r="G68" s="7" t="s">
        <v>249</v>
      </c>
      <c r="H68" s="7"/>
      <c r="I68" s="7"/>
      <c r="J68" s="7"/>
      <c r="K68" s="7"/>
      <c r="L68" s="7" t="s">
        <v>44</v>
      </c>
      <c r="M68" s="7" t="str">
        <f>'WEDOF - EXAMEN FINAL'!D68</f>
        <v>A faire</v>
      </c>
      <c r="N68" s="7" t="s">
        <v>44</v>
      </c>
      <c r="O68" s="7" t="s">
        <v>44</v>
      </c>
      <c r="P68" s="7" t="s">
        <v>44</v>
      </c>
      <c r="Q68" s="7" t="s">
        <v>44</v>
      </c>
      <c r="R68" s="7" t="s">
        <v>44</v>
      </c>
      <c r="S68" s="7" t="s">
        <v>44</v>
      </c>
      <c r="T68" s="7" t="s">
        <v>44</v>
      </c>
      <c r="U68" s="7" t="str">
        <f t="shared" si="1"/>
        <v>Analyse du besoin, CV, Questionnaire/Test, Contrat, Convocation, Eval intermediaire, Eval finale, Questionnaire satisfaction, Document de fin</v>
      </c>
      <c r="V68" s="13">
        <f t="shared" si="2"/>
        <v>0</v>
      </c>
      <c r="W68" s="7" t="str">
        <f t="shared" si="3"/>
        <v/>
      </c>
      <c r="X68" s="7" t="str">
        <f t="shared" si="4"/>
        <v/>
      </c>
      <c r="Y68" s="11" t="s">
        <v>74</v>
      </c>
    </row>
    <row r="69" ht="15.0" customHeight="1">
      <c r="A69" s="7" t="s">
        <v>51</v>
      </c>
      <c r="B69" s="7" t="s">
        <v>323</v>
      </c>
      <c r="C69" s="7" t="s">
        <v>316</v>
      </c>
      <c r="D69" s="7" t="s">
        <v>56</v>
      </c>
      <c r="E69" s="7" t="s">
        <v>324</v>
      </c>
      <c r="F69" s="7" t="s">
        <v>325</v>
      </c>
      <c r="G69" s="7" t="s">
        <v>249</v>
      </c>
      <c r="H69" s="7"/>
      <c r="I69" s="7"/>
      <c r="J69" s="7"/>
      <c r="K69" s="7"/>
      <c r="L69" s="7" t="s">
        <v>44</v>
      </c>
      <c r="M69" s="7" t="str">
        <f>'WEDOF - EXAMEN FINAL'!D69</f>
        <v>A faire</v>
      </c>
      <c r="N69" s="7" t="s">
        <v>44</v>
      </c>
      <c r="O69" s="7" t="s">
        <v>44</v>
      </c>
      <c r="P69" s="7" t="s">
        <v>44</v>
      </c>
      <c r="Q69" s="7" t="s">
        <v>44</v>
      </c>
      <c r="R69" s="7" t="s">
        <v>44</v>
      </c>
      <c r="S69" s="7" t="s">
        <v>44</v>
      </c>
      <c r="T69" s="7" t="s">
        <v>44</v>
      </c>
      <c r="U69" s="7" t="str">
        <f t="shared" si="1"/>
        <v>Analyse du besoin, CV, Questionnaire/Test, Contrat, Convocation, Eval intermediaire, Eval finale, Questionnaire satisfaction, Document de fin</v>
      </c>
      <c r="V69" s="13">
        <f t="shared" si="2"/>
        <v>0</v>
      </c>
      <c r="W69" s="7" t="str">
        <f t="shared" si="3"/>
        <v/>
      </c>
      <c r="X69" s="7" t="str">
        <f t="shared" si="4"/>
        <v/>
      </c>
      <c r="Y69" s="11" t="s">
        <v>74</v>
      </c>
    </row>
    <row r="70" ht="15.0" customHeight="1">
      <c r="A70" s="7" t="s">
        <v>51</v>
      </c>
      <c r="B70" s="7" t="s">
        <v>326</v>
      </c>
      <c r="C70" s="7" t="s">
        <v>316</v>
      </c>
      <c r="D70" s="7" t="s">
        <v>261</v>
      </c>
      <c r="E70" s="7" t="s">
        <v>310</v>
      </c>
      <c r="F70" s="7" t="s">
        <v>311</v>
      </c>
      <c r="G70" s="7" t="s">
        <v>320</v>
      </c>
      <c r="H70" s="7"/>
      <c r="I70" s="7"/>
      <c r="J70" s="7"/>
      <c r="K70" s="7"/>
      <c r="L70" s="7" t="s">
        <v>44</v>
      </c>
      <c r="M70" s="7" t="str">
        <f>'WEDOF - EXAMEN FINAL'!D70</f>
        <v>A faire</v>
      </c>
      <c r="N70" s="7" t="s">
        <v>44</v>
      </c>
      <c r="O70" s="7" t="s">
        <v>44</v>
      </c>
      <c r="P70" s="7" t="s">
        <v>44</v>
      </c>
      <c r="Q70" s="7" t="s">
        <v>44</v>
      </c>
      <c r="R70" s="7" t="s">
        <v>44</v>
      </c>
      <c r="S70" s="7" t="s">
        <v>44</v>
      </c>
      <c r="T70" s="7" t="s">
        <v>44</v>
      </c>
      <c r="U70" s="7" t="str">
        <f t="shared" si="1"/>
        <v>Analyse du besoin, CV, Questionnaire/Test, Contrat, Convocation, Eval intermediaire, Eval finale, Questionnaire satisfaction, Document de fin</v>
      </c>
      <c r="V70" s="13">
        <f t="shared" si="2"/>
        <v>0</v>
      </c>
      <c r="W70" s="7" t="str">
        <f t="shared" si="3"/>
        <v/>
      </c>
      <c r="X70" s="7" t="str">
        <f t="shared" si="4"/>
        <v/>
      </c>
      <c r="Y70" s="11" t="s">
        <v>74</v>
      </c>
    </row>
    <row r="71" ht="15.0" customHeight="1">
      <c r="A71" s="7" t="s">
        <v>51</v>
      </c>
      <c r="B71" s="7" t="s">
        <v>326</v>
      </c>
      <c r="C71" s="7" t="s">
        <v>316</v>
      </c>
      <c r="D71" s="7" t="s">
        <v>268</v>
      </c>
      <c r="E71" s="7" t="s">
        <v>321</v>
      </c>
      <c r="F71" s="7" t="s">
        <v>322</v>
      </c>
      <c r="G71" s="7" t="s">
        <v>320</v>
      </c>
      <c r="H71" s="7"/>
      <c r="I71" s="7"/>
      <c r="J71" s="7"/>
      <c r="K71" s="7"/>
      <c r="L71" s="7" t="s">
        <v>44</v>
      </c>
      <c r="M71" s="7" t="str">
        <f>'WEDOF - EXAMEN FINAL'!D71</f>
        <v>A faire</v>
      </c>
      <c r="N71" s="7" t="s">
        <v>44</v>
      </c>
      <c r="O71" s="7" t="s">
        <v>44</v>
      </c>
      <c r="P71" s="7" t="s">
        <v>44</v>
      </c>
      <c r="Q71" s="7" t="s">
        <v>44</v>
      </c>
      <c r="R71" s="7" t="s">
        <v>44</v>
      </c>
      <c r="S71" s="7" t="s">
        <v>44</v>
      </c>
      <c r="T71" s="7" t="s">
        <v>44</v>
      </c>
      <c r="U71" s="7" t="str">
        <f t="shared" si="1"/>
        <v>Analyse du besoin, CV, Questionnaire/Test, Contrat, Convocation, Eval intermediaire, Eval finale, Questionnaire satisfaction, Document de fin</v>
      </c>
      <c r="V71" s="13">
        <f t="shared" si="2"/>
        <v>0</v>
      </c>
      <c r="W71" s="7" t="str">
        <f t="shared" si="3"/>
        <v/>
      </c>
      <c r="X71" s="7" t="str">
        <f t="shared" si="4"/>
        <v/>
      </c>
      <c r="Y71" s="11" t="s">
        <v>74</v>
      </c>
    </row>
    <row r="72" ht="15.0" customHeight="1">
      <c r="A72" s="7" t="s">
        <v>51</v>
      </c>
      <c r="B72" s="7" t="s">
        <v>326</v>
      </c>
      <c r="C72" s="7" t="s">
        <v>316</v>
      </c>
      <c r="D72" s="7" t="s">
        <v>56</v>
      </c>
      <c r="E72" s="7" t="s">
        <v>324</v>
      </c>
      <c r="F72" s="7" t="s">
        <v>325</v>
      </c>
      <c r="G72" s="7" t="s">
        <v>320</v>
      </c>
      <c r="H72" s="7"/>
      <c r="I72" s="7"/>
      <c r="J72" s="7"/>
      <c r="K72" s="7"/>
      <c r="L72" s="7" t="s">
        <v>44</v>
      </c>
      <c r="M72" s="7" t="str">
        <f>'WEDOF - EXAMEN FINAL'!D72</f>
        <v>A faire</v>
      </c>
      <c r="N72" s="7" t="s">
        <v>44</v>
      </c>
      <c r="O72" s="7" t="s">
        <v>44</v>
      </c>
      <c r="P72" s="7" t="s">
        <v>44</v>
      </c>
      <c r="Q72" s="7" t="s">
        <v>44</v>
      </c>
      <c r="R72" s="7" t="s">
        <v>44</v>
      </c>
      <c r="S72" s="7" t="s">
        <v>44</v>
      </c>
      <c r="T72" s="7" t="s">
        <v>44</v>
      </c>
      <c r="U72" s="7" t="str">
        <f t="shared" si="1"/>
        <v>Analyse du besoin, CV, Questionnaire/Test, Contrat, Convocation, Eval intermediaire, Eval finale, Questionnaire satisfaction, Document de fin</v>
      </c>
      <c r="V72" s="13">
        <f t="shared" si="2"/>
        <v>0</v>
      </c>
      <c r="W72" s="7" t="str">
        <f t="shared" si="3"/>
        <v/>
      </c>
      <c r="X72" s="7" t="str">
        <f t="shared" si="4"/>
        <v/>
      </c>
      <c r="Y72" s="11" t="s">
        <v>74</v>
      </c>
    </row>
    <row r="73" ht="15.0" customHeight="1">
      <c r="A73" s="7" t="s">
        <v>51</v>
      </c>
      <c r="B73" s="7" t="s">
        <v>327</v>
      </c>
      <c r="C73" s="7" t="s">
        <v>293</v>
      </c>
      <c r="D73" s="7" t="s">
        <v>261</v>
      </c>
      <c r="E73" s="7" t="s">
        <v>310</v>
      </c>
      <c r="F73" s="7" t="s">
        <v>311</v>
      </c>
      <c r="G73" s="7" t="s">
        <v>320</v>
      </c>
      <c r="H73" s="7"/>
      <c r="I73" s="7"/>
      <c r="J73" s="7"/>
      <c r="K73" s="7"/>
      <c r="L73" s="7" t="s">
        <v>44</v>
      </c>
      <c r="M73" s="7" t="str">
        <f>'WEDOF - EXAMEN FINAL'!D73</f>
        <v>A faire</v>
      </c>
      <c r="N73" s="7" t="s">
        <v>44</v>
      </c>
      <c r="O73" s="7" t="s">
        <v>44</v>
      </c>
      <c r="P73" s="7" t="s">
        <v>44</v>
      </c>
      <c r="Q73" s="7" t="s">
        <v>44</v>
      </c>
      <c r="R73" s="7" t="s">
        <v>44</v>
      </c>
      <c r="S73" s="7" t="s">
        <v>44</v>
      </c>
      <c r="T73" s="7" t="s">
        <v>44</v>
      </c>
      <c r="U73" s="7" t="str">
        <f t="shared" si="1"/>
        <v>Analyse du besoin, CV, Questionnaire/Test, Contrat, Convocation, Eval intermediaire, Eval finale, Questionnaire satisfaction, Document de fin</v>
      </c>
      <c r="V73" s="13">
        <f t="shared" si="2"/>
        <v>0</v>
      </c>
      <c r="W73" s="7" t="str">
        <f t="shared" si="3"/>
        <v/>
      </c>
      <c r="X73" s="7" t="str">
        <f t="shared" si="4"/>
        <v/>
      </c>
      <c r="Y73" s="11" t="s">
        <v>68</v>
      </c>
    </row>
    <row r="74" ht="15.0" customHeight="1">
      <c r="A74" s="7" t="s">
        <v>51</v>
      </c>
      <c r="B74" s="7" t="s">
        <v>327</v>
      </c>
      <c r="C74" s="7" t="s">
        <v>293</v>
      </c>
      <c r="D74" s="7" t="s">
        <v>268</v>
      </c>
      <c r="E74" s="7" t="s">
        <v>321</v>
      </c>
      <c r="F74" s="7" t="s">
        <v>322</v>
      </c>
      <c r="G74" s="7" t="s">
        <v>320</v>
      </c>
      <c r="H74" s="7"/>
      <c r="I74" s="7"/>
      <c r="J74" s="7"/>
      <c r="K74" s="7"/>
      <c r="L74" s="7" t="s">
        <v>44</v>
      </c>
      <c r="M74" s="7" t="str">
        <f>'WEDOF - EXAMEN FINAL'!D74</f>
        <v>A faire</v>
      </c>
      <c r="N74" s="7" t="s">
        <v>44</v>
      </c>
      <c r="O74" s="7" t="s">
        <v>44</v>
      </c>
      <c r="P74" s="7" t="s">
        <v>44</v>
      </c>
      <c r="Q74" s="7" t="s">
        <v>44</v>
      </c>
      <c r="R74" s="7" t="s">
        <v>44</v>
      </c>
      <c r="S74" s="7" t="s">
        <v>44</v>
      </c>
      <c r="T74" s="7" t="s">
        <v>44</v>
      </c>
      <c r="U74" s="7" t="str">
        <f t="shared" si="1"/>
        <v>Analyse du besoin, CV, Questionnaire/Test, Contrat, Convocation, Eval intermediaire, Eval finale, Questionnaire satisfaction, Document de fin</v>
      </c>
      <c r="V74" s="13">
        <f t="shared" si="2"/>
        <v>0</v>
      </c>
      <c r="W74" s="7" t="str">
        <f t="shared" si="3"/>
        <v/>
      </c>
      <c r="X74" s="7" t="str">
        <f t="shared" si="4"/>
        <v/>
      </c>
      <c r="Y74" s="11" t="s">
        <v>68</v>
      </c>
    </row>
    <row r="75" ht="15.0" customHeight="1">
      <c r="A75" s="7" t="s">
        <v>51</v>
      </c>
      <c r="B75" s="7" t="s">
        <v>327</v>
      </c>
      <c r="C75" s="7" t="s">
        <v>293</v>
      </c>
      <c r="D75" s="7" t="s">
        <v>56</v>
      </c>
      <c r="E75" s="7" t="s">
        <v>324</v>
      </c>
      <c r="F75" s="7" t="s">
        <v>325</v>
      </c>
      <c r="G75" s="7" t="s">
        <v>320</v>
      </c>
      <c r="H75" s="7"/>
      <c r="I75" s="7"/>
      <c r="J75" s="7"/>
      <c r="K75" s="7"/>
      <c r="L75" s="7" t="s">
        <v>44</v>
      </c>
      <c r="M75" s="7" t="str">
        <f>'WEDOF - EXAMEN FINAL'!D75</f>
        <v>A faire</v>
      </c>
      <c r="N75" s="7" t="s">
        <v>44</v>
      </c>
      <c r="O75" s="7" t="s">
        <v>44</v>
      </c>
      <c r="P75" s="7" t="s">
        <v>44</v>
      </c>
      <c r="Q75" s="7" t="s">
        <v>44</v>
      </c>
      <c r="R75" s="7" t="s">
        <v>44</v>
      </c>
      <c r="S75" s="7" t="s">
        <v>44</v>
      </c>
      <c r="T75" s="7" t="s">
        <v>44</v>
      </c>
      <c r="U75" s="7" t="str">
        <f t="shared" si="1"/>
        <v>Analyse du besoin, CV, Questionnaire/Test, Contrat, Convocation, Eval intermediaire, Eval finale, Questionnaire satisfaction, Document de fin</v>
      </c>
      <c r="V75" s="13">
        <f t="shared" si="2"/>
        <v>0</v>
      </c>
      <c r="W75" s="7" t="str">
        <f t="shared" si="3"/>
        <v/>
      </c>
      <c r="X75" s="7" t="str">
        <f t="shared" si="4"/>
        <v/>
      </c>
      <c r="Y75" s="11" t="s">
        <v>68</v>
      </c>
    </row>
    <row r="76" ht="15.0" customHeight="1">
      <c r="A76" s="7" t="s">
        <v>51</v>
      </c>
      <c r="B76" s="7" t="s">
        <v>328</v>
      </c>
      <c r="C76" s="7" t="s">
        <v>293</v>
      </c>
      <c r="D76" s="7" t="s">
        <v>261</v>
      </c>
      <c r="E76" s="7" t="s">
        <v>310</v>
      </c>
      <c r="F76" s="7" t="s">
        <v>311</v>
      </c>
      <c r="G76" s="7" t="s">
        <v>249</v>
      </c>
      <c r="H76" s="7"/>
      <c r="I76" s="7"/>
      <c r="J76" s="7"/>
      <c r="K76" s="7"/>
      <c r="L76" s="7" t="s">
        <v>44</v>
      </c>
      <c r="M76" s="7" t="str">
        <f>'WEDOF - EXAMEN FINAL'!D76</f>
        <v>A faire</v>
      </c>
      <c r="N76" s="7" t="s">
        <v>44</v>
      </c>
      <c r="O76" s="7" t="s">
        <v>44</v>
      </c>
      <c r="P76" s="7" t="s">
        <v>44</v>
      </c>
      <c r="Q76" s="7" t="s">
        <v>44</v>
      </c>
      <c r="R76" s="7" t="s">
        <v>44</v>
      </c>
      <c r="S76" s="7" t="s">
        <v>44</v>
      </c>
      <c r="T76" s="7" t="s">
        <v>44</v>
      </c>
      <c r="U76" s="7" t="str">
        <f t="shared" si="1"/>
        <v>Analyse du besoin, CV, Questionnaire/Test, Contrat, Convocation, Eval intermediaire, Eval finale, Questionnaire satisfaction, Document de fin</v>
      </c>
      <c r="V76" s="13">
        <f t="shared" si="2"/>
        <v>0</v>
      </c>
      <c r="W76" s="7" t="str">
        <f t="shared" si="3"/>
        <v/>
      </c>
      <c r="X76" s="7" t="str">
        <f t="shared" si="4"/>
        <v/>
      </c>
      <c r="Y76" s="11" t="s">
        <v>74</v>
      </c>
    </row>
    <row r="77" ht="15.0" customHeight="1">
      <c r="A77" s="7" t="s">
        <v>51</v>
      </c>
      <c r="B77" s="7" t="s">
        <v>328</v>
      </c>
      <c r="C77" s="7" t="s">
        <v>293</v>
      </c>
      <c r="D77" s="7" t="s">
        <v>268</v>
      </c>
      <c r="E77" s="7" t="s">
        <v>321</v>
      </c>
      <c r="F77" s="7" t="s">
        <v>322</v>
      </c>
      <c r="G77" s="7" t="s">
        <v>249</v>
      </c>
      <c r="H77" s="7"/>
      <c r="I77" s="7"/>
      <c r="J77" s="7"/>
      <c r="K77" s="7"/>
      <c r="L77" s="7" t="s">
        <v>44</v>
      </c>
      <c r="M77" s="7" t="str">
        <f>'WEDOF - EXAMEN FINAL'!D77</f>
        <v>A faire</v>
      </c>
      <c r="N77" s="7" t="s">
        <v>44</v>
      </c>
      <c r="O77" s="7" t="s">
        <v>44</v>
      </c>
      <c r="P77" s="7" t="s">
        <v>44</v>
      </c>
      <c r="Q77" s="7" t="s">
        <v>44</v>
      </c>
      <c r="R77" s="7" t="s">
        <v>44</v>
      </c>
      <c r="S77" s="7" t="s">
        <v>44</v>
      </c>
      <c r="T77" s="7" t="s">
        <v>44</v>
      </c>
      <c r="U77" s="7" t="str">
        <f t="shared" si="1"/>
        <v>Analyse du besoin, CV, Questionnaire/Test, Contrat, Convocation, Eval intermediaire, Eval finale, Questionnaire satisfaction, Document de fin</v>
      </c>
      <c r="V77" s="13">
        <f t="shared" si="2"/>
        <v>0</v>
      </c>
      <c r="W77" s="7" t="str">
        <f t="shared" si="3"/>
        <v/>
      </c>
      <c r="X77" s="7" t="str">
        <f t="shared" si="4"/>
        <v/>
      </c>
      <c r="Y77" s="11" t="s">
        <v>74</v>
      </c>
    </row>
    <row r="78" ht="15.0" customHeight="1">
      <c r="A78" s="7" t="s">
        <v>51</v>
      </c>
      <c r="B78" s="7" t="s">
        <v>328</v>
      </c>
      <c r="C78" s="7" t="s">
        <v>293</v>
      </c>
      <c r="D78" s="7" t="s">
        <v>56</v>
      </c>
      <c r="E78" s="7" t="s">
        <v>324</v>
      </c>
      <c r="F78" s="7" t="s">
        <v>325</v>
      </c>
      <c r="G78" s="7" t="s">
        <v>249</v>
      </c>
      <c r="H78" s="7"/>
      <c r="I78" s="7"/>
      <c r="J78" s="7"/>
      <c r="K78" s="7"/>
      <c r="L78" s="7" t="s">
        <v>44</v>
      </c>
      <c r="M78" s="7" t="str">
        <f>'WEDOF - EXAMEN FINAL'!D78</f>
        <v>A faire</v>
      </c>
      <c r="N78" s="7" t="s">
        <v>44</v>
      </c>
      <c r="O78" s="7" t="s">
        <v>44</v>
      </c>
      <c r="P78" s="7" t="s">
        <v>44</v>
      </c>
      <c r="Q78" s="7" t="s">
        <v>44</v>
      </c>
      <c r="R78" s="7" t="s">
        <v>44</v>
      </c>
      <c r="S78" s="7" t="s">
        <v>44</v>
      </c>
      <c r="T78" s="7" t="s">
        <v>44</v>
      </c>
      <c r="U78" s="7" t="str">
        <f t="shared" si="1"/>
        <v>Analyse du besoin, CV, Questionnaire/Test, Contrat, Convocation, Eval intermediaire, Eval finale, Questionnaire satisfaction, Document de fin</v>
      </c>
      <c r="V78" s="13">
        <f t="shared" si="2"/>
        <v>0</v>
      </c>
      <c r="W78" s="7" t="str">
        <f t="shared" si="3"/>
        <v/>
      </c>
      <c r="X78" s="7" t="str">
        <f t="shared" si="4"/>
        <v/>
      </c>
      <c r="Y78" s="11" t="s">
        <v>74</v>
      </c>
    </row>
    <row r="79" ht="15.0" customHeight="1">
      <c r="A79" s="7" t="s">
        <v>51</v>
      </c>
      <c r="B79" s="7" t="s">
        <v>329</v>
      </c>
      <c r="C79" s="7" t="s">
        <v>293</v>
      </c>
      <c r="D79" s="7" t="s">
        <v>261</v>
      </c>
      <c r="E79" s="7" t="s">
        <v>310</v>
      </c>
      <c r="F79" s="7" t="s">
        <v>311</v>
      </c>
      <c r="G79" s="7" t="s">
        <v>320</v>
      </c>
      <c r="H79" s="7"/>
      <c r="I79" s="7"/>
      <c r="J79" s="7"/>
      <c r="K79" s="7"/>
      <c r="L79" s="7" t="s">
        <v>44</v>
      </c>
      <c r="M79" s="7" t="str">
        <f>'WEDOF - EXAMEN FINAL'!D79</f>
        <v>A faire</v>
      </c>
      <c r="N79" s="7" t="s">
        <v>44</v>
      </c>
      <c r="O79" s="7" t="s">
        <v>44</v>
      </c>
      <c r="P79" s="7" t="s">
        <v>44</v>
      </c>
      <c r="Q79" s="7" t="s">
        <v>44</v>
      </c>
      <c r="R79" s="7" t="s">
        <v>44</v>
      </c>
      <c r="S79" s="7" t="s">
        <v>44</v>
      </c>
      <c r="T79" s="7" t="s">
        <v>44</v>
      </c>
      <c r="U79" s="7" t="str">
        <f t="shared" si="1"/>
        <v>Analyse du besoin, CV, Questionnaire/Test, Contrat, Convocation, Eval intermediaire, Eval finale, Questionnaire satisfaction, Document de fin</v>
      </c>
      <c r="V79" s="13">
        <f t="shared" si="2"/>
        <v>0</v>
      </c>
      <c r="W79" s="7" t="str">
        <f t="shared" si="3"/>
        <v/>
      </c>
      <c r="X79" s="7" t="str">
        <f t="shared" si="4"/>
        <v/>
      </c>
      <c r="Y79" s="11" t="s">
        <v>74</v>
      </c>
    </row>
    <row r="80" ht="15.0" customHeight="1">
      <c r="A80" s="7" t="s">
        <v>51</v>
      </c>
      <c r="B80" s="7" t="s">
        <v>329</v>
      </c>
      <c r="C80" s="7" t="s">
        <v>293</v>
      </c>
      <c r="D80" s="7" t="s">
        <v>268</v>
      </c>
      <c r="E80" s="7" t="s">
        <v>321</v>
      </c>
      <c r="F80" s="7" t="s">
        <v>322</v>
      </c>
      <c r="G80" s="7" t="s">
        <v>320</v>
      </c>
      <c r="H80" s="7"/>
      <c r="I80" s="7"/>
      <c r="J80" s="7"/>
      <c r="K80" s="7"/>
      <c r="L80" s="7" t="s">
        <v>44</v>
      </c>
      <c r="M80" s="7" t="str">
        <f>'WEDOF - EXAMEN FINAL'!D80</f>
        <v>A faire</v>
      </c>
      <c r="N80" s="7" t="s">
        <v>44</v>
      </c>
      <c r="O80" s="7" t="s">
        <v>44</v>
      </c>
      <c r="P80" s="7" t="s">
        <v>44</v>
      </c>
      <c r="Q80" s="7" t="s">
        <v>44</v>
      </c>
      <c r="R80" s="7" t="s">
        <v>44</v>
      </c>
      <c r="S80" s="7" t="s">
        <v>44</v>
      </c>
      <c r="T80" s="7" t="s">
        <v>44</v>
      </c>
      <c r="U80" s="7" t="str">
        <f t="shared" si="1"/>
        <v>Analyse du besoin, CV, Questionnaire/Test, Contrat, Convocation, Eval intermediaire, Eval finale, Questionnaire satisfaction, Document de fin</v>
      </c>
      <c r="V80" s="13">
        <f t="shared" si="2"/>
        <v>0</v>
      </c>
      <c r="W80" s="7" t="str">
        <f t="shared" si="3"/>
        <v/>
      </c>
      <c r="X80" s="7" t="str">
        <f t="shared" si="4"/>
        <v/>
      </c>
      <c r="Y80" s="11" t="s">
        <v>74</v>
      </c>
    </row>
    <row r="81" ht="15.0" customHeight="1">
      <c r="A81" s="7" t="s">
        <v>51</v>
      </c>
      <c r="B81" s="7" t="s">
        <v>329</v>
      </c>
      <c r="C81" s="7" t="s">
        <v>293</v>
      </c>
      <c r="D81" s="7" t="s">
        <v>56</v>
      </c>
      <c r="E81" s="7" t="s">
        <v>324</v>
      </c>
      <c r="F81" s="7" t="s">
        <v>325</v>
      </c>
      <c r="G81" s="7" t="s">
        <v>320</v>
      </c>
      <c r="H81" s="7"/>
      <c r="I81" s="7"/>
      <c r="J81" s="7"/>
      <c r="K81" s="7"/>
      <c r="L81" s="7" t="s">
        <v>44</v>
      </c>
      <c r="M81" s="7" t="str">
        <f>'WEDOF - EXAMEN FINAL'!D81</f>
        <v>A faire</v>
      </c>
      <c r="N81" s="7" t="s">
        <v>44</v>
      </c>
      <c r="O81" s="7" t="s">
        <v>44</v>
      </c>
      <c r="P81" s="7" t="s">
        <v>44</v>
      </c>
      <c r="Q81" s="7" t="s">
        <v>44</v>
      </c>
      <c r="R81" s="7" t="s">
        <v>44</v>
      </c>
      <c r="S81" s="7" t="s">
        <v>44</v>
      </c>
      <c r="T81" s="7" t="s">
        <v>44</v>
      </c>
      <c r="U81" s="7" t="str">
        <f t="shared" si="1"/>
        <v>Analyse du besoin, CV, Questionnaire/Test, Contrat, Convocation, Eval intermediaire, Eval finale, Questionnaire satisfaction, Document de fin</v>
      </c>
      <c r="V81" s="13">
        <f t="shared" si="2"/>
        <v>0</v>
      </c>
      <c r="W81" s="7" t="str">
        <f t="shared" si="3"/>
        <v/>
      </c>
      <c r="X81" s="7" t="str">
        <f t="shared" si="4"/>
        <v/>
      </c>
      <c r="Y81" s="11" t="s">
        <v>74</v>
      </c>
    </row>
    <row r="82" ht="15.0" customHeight="1">
      <c r="A82" s="15" t="s">
        <v>330</v>
      </c>
      <c r="B82" s="15" t="s">
        <v>331</v>
      </c>
      <c r="C82" s="15" t="s">
        <v>332</v>
      </c>
      <c r="D82" s="15" t="s">
        <v>261</v>
      </c>
      <c r="E82" s="15" t="s">
        <v>235</v>
      </c>
      <c r="F82" s="15" t="s">
        <v>218</v>
      </c>
      <c r="G82" s="15" t="s">
        <v>333</v>
      </c>
      <c r="H82" s="15" t="s">
        <v>334</v>
      </c>
      <c r="I82" s="15" t="s">
        <v>335</v>
      </c>
      <c r="J82" s="15" t="s">
        <v>336</v>
      </c>
      <c r="K82" s="15"/>
      <c r="L82" s="15" t="s">
        <v>44</v>
      </c>
      <c r="M82" s="15" t="str">
        <f>'WEDOF - EXAMEN FINAL'!D82</f>
        <v>A faire</v>
      </c>
      <c r="N82" s="15" t="s">
        <v>44</v>
      </c>
      <c r="O82" s="15" t="s">
        <v>44</v>
      </c>
      <c r="P82" s="15" t="s">
        <v>44</v>
      </c>
      <c r="Q82" s="15" t="s">
        <v>44</v>
      </c>
      <c r="R82" s="15" t="s">
        <v>44</v>
      </c>
      <c r="S82" s="15" t="s">
        <v>44</v>
      </c>
      <c r="T82" s="15" t="s">
        <v>44</v>
      </c>
      <c r="U82" s="15" t="str">
        <f t="shared" si="1"/>
        <v>Analyse du besoin, CV, Questionnaire/Test, Contrat, Convocation, Eval intermediaire, Eval finale, Questionnaire satisfaction, Document de fin</v>
      </c>
      <c r="V82" s="16">
        <f t="shared" si="2"/>
        <v>0</v>
      </c>
      <c r="W82" s="15" t="str">
        <f t="shared" si="3"/>
        <v>A RELANCER : Analyse du besoin, CV, Questionnaire/Test, Contrat, Convocation, Eval intermediaire, Eval finale, Questionnaire satisfaction, Document de fin</v>
      </c>
      <c r="X82" s="15" t="str">
        <f t="shared" si="4"/>
        <v/>
      </c>
      <c r="Y82" s="11" t="s">
        <v>74</v>
      </c>
    </row>
    <row r="83" ht="15.0" customHeight="1">
      <c r="A83" s="15" t="s">
        <v>330</v>
      </c>
      <c r="B83" s="15" t="s">
        <v>331</v>
      </c>
      <c r="C83" s="15" t="s">
        <v>332</v>
      </c>
      <c r="D83" s="15" t="s">
        <v>268</v>
      </c>
      <c r="E83" s="15" t="s">
        <v>337</v>
      </c>
      <c r="F83" s="15" t="s">
        <v>338</v>
      </c>
      <c r="G83" s="15" t="s">
        <v>333</v>
      </c>
      <c r="H83" s="15" t="s">
        <v>334</v>
      </c>
      <c r="I83" s="15" t="s">
        <v>335</v>
      </c>
      <c r="J83" s="15"/>
      <c r="K83" s="15"/>
      <c r="L83" s="15" t="s">
        <v>44</v>
      </c>
      <c r="M83" s="15" t="str">
        <f>'WEDOF - EXAMEN FINAL'!D83</f>
        <v>A faire</v>
      </c>
      <c r="N83" s="15" t="s">
        <v>44</v>
      </c>
      <c r="O83" s="15" t="s">
        <v>47</v>
      </c>
      <c r="P83" s="15" t="s">
        <v>44</v>
      </c>
      <c r="Q83" s="15" t="s">
        <v>44</v>
      </c>
      <c r="R83" s="15" t="s">
        <v>44</v>
      </c>
      <c r="S83" s="15" t="s">
        <v>44</v>
      </c>
      <c r="T83" s="15" t="s">
        <v>44</v>
      </c>
      <c r="U83" s="15" t="str">
        <f t="shared" si="1"/>
        <v>Analyse du besoin, CV, Questionnaire/Test, Convocation, Eval intermediaire, Eval finale, Questionnaire satisfaction, Document de fin</v>
      </c>
      <c r="V83" s="16">
        <f t="shared" si="2"/>
        <v>0.1111111111</v>
      </c>
      <c r="W83" s="15" t="str">
        <f t="shared" si="3"/>
        <v>A RELANCER : Analyse du besoin, CV, Questionnaire/Test, Convocation, Eval intermediaire, Eval finale, Questionnaire satisfaction, Document de fin</v>
      </c>
      <c r="X83" s="15" t="str">
        <f t="shared" si="4"/>
        <v/>
      </c>
      <c r="Y83" s="11" t="s">
        <v>74</v>
      </c>
    </row>
    <row r="84" ht="15.0" customHeight="1">
      <c r="A84" s="15" t="s">
        <v>330</v>
      </c>
      <c r="B84" s="15" t="s">
        <v>331</v>
      </c>
      <c r="C84" s="15" t="s">
        <v>332</v>
      </c>
      <c r="D84" s="15" t="s">
        <v>56</v>
      </c>
      <c r="E84" s="15" t="s">
        <v>339</v>
      </c>
      <c r="F84" s="15" t="s">
        <v>340</v>
      </c>
      <c r="G84" s="15" t="s">
        <v>115</v>
      </c>
      <c r="H84" s="15" t="s">
        <v>334</v>
      </c>
      <c r="I84" s="15" t="s">
        <v>335</v>
      </c>
      <c r="J84" s="15"/>
      <c r="K84" s="15"/>
      <c r="L84" s="15" t="s">
        <v>44</v>
      </c>
      <c r="M84" s="15" t="str">
        <f>'WEDOF - EXAMEN FINAL'!D84</f>
        <v>A faire</v>
      </c>
      <c r="N84" s="15" t="s">
        <v>44</v>
      </c>
      <c r="O84" s="15" t="s">
        <v>47</v>
      </c>
      <c r="P84" s="15" t="s">
        <v>44</v>
      </c>
      <c r="Q84" s="15" t="s">
        <v>44</v>
      </c>
      <c r="R84" s="15" t="s">
        <v>44</v>
      </c>
      <c r="S84" s="15" t="s">
        <v>44</v>
      </c>
      <c r="T84" s="15" t="s">
        <v>44</v>
      </c>
      <c r="U84" s="15" t="str">
        <f t="shared" si="1"/>
        <v>Analyse du besoin, CV, Questionnaire/Test, Convocation, Eval intermediaire, Eval finale, Questionnaire satisfaction, Document de fin</v>
      </c>
      <c r="V84" s="16">
        <f t="shared" si="2"/>
        <v>0.1111111111</v>
      </c>
      <c r="W84" s="15" t="str">
        <f t="shared" si="3"/>
        <v>A RELANCER : Analyse du besoin, CV, Questionnaire/Test, Convocation, Eval intermediaire, Eval finale, Questionnaire satisfaction, Document de fin</v>
      </c>
      <c r="X84" s="15" t="str">
        <f t="shared" si="4"/>
        <v/>
      </c>
      <c r="Y84" s="11" t="s">
        <v>74</v>
      </c>
    </row>
    <row r="85" ht="15.0" customHeight="1">
      <c r="A85" s="15" t="s">
        <v>330</v>
      </c>
      <c r="B85" s="15" t="s">
        <v>341</v>
      </c>
      <c r="C85" s="15" t="s">
        <v>332</v>
      </c>
      <c r="D85" s="15" t="s">
        <v>261</v>
      </c>
      <c r="E85" s="15" t="s">
        <v>342</v>
      </c>
      <c r="F85" s="15" t="s">
        <v>218</v>
      </c>
      <c r="G85" s="15" t="s">
        <v>333</v>
      </c>
      <c r="H85" s="15" t="s">
        <v>343</v>
      </c>
      <c r="I85" s="15" t="s">
        <v>344</v>
      </c>
      <c r="J85" s="15" t="s">
        <v>345</v>
      </c>
      <c r="K85" s="15"/>
      <c r="L85" s="15" t="s">
        <v>44</v>
      </c>
      <c r="M85" s="15" t="str">
        <f>'WEDOF - EXAMEN FINAL'!D85</f>
        <v>A faire</v>
      </c>
      <c r="N85" s="15" t="s">
        <v>44</v>
      </c>
      <c r="O85" s="15" t="s">
        <v>47</v>
      </c>
      <c r="P85" s="15" t="s">
        <v>44</v>
      </c>
      <c r="Q85" s="15" t="s">
        <v>44</v>
      </c>
      <c r="R85" s="15" t="s">
        <v>44</v>
      </c>
      <c r="S85" s="15" t="s">
        <v>44</v>
      </c>
      <c r="T85" s="15" t="s">
        <v>44</v>
      </c>
      <c r="U85" s="15" t="str">
        <f t="shared" si="1"/>
        <v>Analyse du besoin, CV, Questionnaire/Test, Convocation, Eval intermediaire, Eval finale, Questionnaire satisfaction, Document de fin</v>
      </c>
      <c r="V85" s="16">
        <f t="shared" si="2"/>
        <v>0.1111111111</v>
      </c>
      <c r="W85" s="15" t="str">
        <f t="shared" si="3"/>
        <v>A RELANCER : Analyse du besoin, CV, Questionnaire/Test, Convocation, Eval intermediaire, Eval finale, Questionnaire satisfaction, Document de fin</v>
      </c>
      <c r="X85" s="15" t="str">
        <f t="shared" si="4"/>
        <v/>
      </c>
      <c r="Y85" s="11" t="s">
        <v>74</v>
      </c>
    </row>
    <row r="86" ht="15.0" customHeight="1">
      <c r="A86" s="15" t="s">
        <v>330</v>
      </c>
      <c r="B86" s="15" t="s">
        <v>341</v>
      </c>
      <c r="C86" s="15" t="s">
        <v>332</v>
      </c>
      <c r="D86" s="15" t="s">
        <v>268</v>
      </c>
      <c r="E86" s="15" t="s">
        <v>337</v>
      </c>
      <c r="F86" s="15" t="s">
        <v>338</v>
      </c>
      <c r="G86" s="15" t="s">
        <v>333</v>
      </c>
      <c r="H86" s="15" t="s">
        <v>343</v>
      </c>
      <c r="I86" s="15" t="s">
        <v>344</v>
      </c>
      <c r="J86" s="15"/>
      <c r="K86" s="15"/>
      <c r="L86" s="15" t="s">
        <v>44</v>
      </c>
      <c r="M86" s="15" t="str">
        <f>'WEDOF - EXAMEN FINAL'!D86</f>
        <v>A faire</v>
      </c>
      <c r="N86" s="15" t="s">
        <v>44</v>
      </c>
      <c r="O86" s="15" t="s">
        <v>47</v>
      </c>
      <c r="P86" s="15" t="s">
        <v>44</v>
      </c>
      <c r="Q86" s="15" t="s">
        <v>44</v>
      </c>
      <c r="R86" s="15" t="s">
        <v>44</v>
      </c>
      <c r="S86" s="15" t="s">
        <v>44</v>
      </c>
      <c r="T86" s="15" t="s">
        <v>44</v>
      </c>
      <c r="U86" s="15" t="str">
        <f t="shared" si="1"/>
        <v>Analyse du besoin, CV, Questionnaire/Test, Convocation, Eval intermediaire, Eval finale, Questionnaire satisfaction, Document de fin</v>
      </c>
      <c r="V86" s="16">
        <f t="shared" si="2"/>
        <v>0.1111111111</v>
      </c>
      <c r="W86" s="15" t="str">
        <f t="shared" si="3"/>
        <v>A RELANCER : Analyse du besoin, CV, Questionnaire/Test, Convocation, Eval intermediaire, Eval finale, Questionnaire satisfaction, Document de fin</v>
      </c>
      <c r="X86" s="15" t="str">
        <f t="shared" si="4"/>
        <v/>
      </c>
      <c r="Y86" s="11" t="s">
        <v>74</v>
      </c>
    </row>
    <row r="87" ht="15.0" customHeight="1">
      <c r="A87" s="15" t="s">
        <v>330</v>
      </c>
      <c r="B87" s="15" t="s">
        <v>347</v>
      </c>
      <c r="C87" s="15" t="s">
        <v>332</v>
      </c>
      <c r="D87" s="15" t="s">
        <v>261</v>
      </c>
      <c r="E87" s="15" t="s">
        <v>342</v>
      </c>
      <c r="F87" s="15" t="s">
        <v>218</v>
      </c>
      <c r="G87" s="15" t="s">
        <v>333</v>
      </c>
      <c r="H87" s="15" t="s">
        <v>350</v>
      </c>
      <c r="I87" s="15" t="s">
        <v>351</v>
      </c>
      <c r="J87" s="15" t="s">
        <v>353</v>
      </c>
      <c r="K87" s="15"/>
      <c r="L87" s="15" t="s">
        <v>44</v>
      </c>
      <c r="M87" s="15" t="str">
        <f>'WEDOF - EXAMEN FINAL'!D87</f>
        <v>A faire</v>
      </c>
      <c r="N87" s="15" t="s">
        <v>44</v>
      </c>
      <c r="O87" s="15" t="s">
        <v>47</v>
      </c>
      <c r="P87" s="15" t="s">
        <v>44</v>
      </c>
      <c r="Q87" s="15" t="s">
        <v>44</v>
      </c>
      <c r="R87" s="15" t="s">
        <v>44</v>
      </c>
      <c r="S87" s="15" t="s">
        <v>44</v>
      </c>
      <c r="T87" s="15" t="s">
        <v>44</v>
      </c>
      <c r="U87" s="15" t="str">
        <f t="shared" si="1"/>
        <v>Analyse du besoin, CV, Questionnaire/Test, Convocation, Eval intermediaire, Eval finale, Questionnaire satisfaction, Document de fin</v>
      </c>
      <c r="V87" s="16">
        <f t="shared" si="2"/>
        <v>0.1111111111</v>
      </c>
      <c r="W87" s="15" t="str">
        <f t="shared" si="3"/>
        <v>A RELANCER : Analyse du besoin, CV, Questionnaire/Test, Convocation, Eval intermediaire, Eval finale, Questionnaire satisfaction, Document de fin</v>
      </c>
      <c r="X87" s="15" t="str">
        <f t="shared" si="4"/>
        <v/>
      </c>
      <c r="Y87" s="11" t="s">
        <v>74</v>
      </c>
    </row>
    <row r="88" ht="15.0" customHeight="1">
      <c r="A88" s="15" t="s">
        <v>330</v>
      </c>
      <c r="B88" s="15" t="s">
        <v>347</v>
      </c>
      <c r="C88" s="15" t="s">
        <v>332</v>
      </c>
      <c r="D88" s="15" t="s">
        <v>268</v>
      </c>
      <c r="E88" s="15" t="s">
        <v>337</v>
      </c>
      <c r="F88" s="15" t="s">
        <v>338</v>
      </c>
      <c r="G88" s="15" t="s">
        <v>333</v>
      </c>
      <c r="H88" s="15" t="s">
        <v>350</v>
      </c>
      <c r="I88" s="15" t="s">
        <v>351</v>
      </c>
      <c r="J88" s="15"/>
      <c r="K88" s="15"/>
      <c r="L88" s="15" t="s">
        <v>44</v>
      </c>
      <c r="M88" s="15" t="str">
        <f>'WEDOF - EXAMEN FINAL'!D88</f>
        <v>A faire</v>
      </c>
      <c r="N88" s="15" t="s">
        <v>44</v>
      </c>
      <c r="O88" s="15" t="s">
        <v>47</v>
      </c>
      <c r="P88" s="15" t="s">
        <v>44</v>
      </c>
      <c r="Q88" s="15" t="s">
        <v>44</v>
      </c>
      <c r="R88" s="15" t="s">
        <v>44</v>
      </c>
      <c r="S88" s="15" t="s">
        <v>44</v>
      </c>
      <c r="T88" s="15" t="s">
        <v>44</v>
      </c>
      <c r="U88" s="15" t="str">
        <f t="shared" si="1"/>
        <v>Analyse du besoin, CV, Questionnaire/Test, Convocation, Eval intermediaire, Eval finale, Questionnaire satisfaction, Document de fin</v>
      </c>
      <c r="V88" s="16">
        <f t="shared" si="2"/>
        <v>0.1111111111</v>
      </c>
      <c r="W88" s="15" t="str">
        <f t="shared" si="3"/>
        <v>A RELANCER : Analyse du besoin, CV, Questionnaire/Test, Convocation, Eval intermediaire, Eval finale, Questionnaire satisfaction, Document de fin</v>
      </c>
      <c r="X88" s="15" t="str">
        <f t="shared" si="4"/>
        <v/>
      </c>
      <c r="Y88" s="11" t="s">
        <v>74</v>
      </c>
    </row>
    <row r="89" ht="15.0" customHeight="1">
      <c r="A89" s="15" t="s">
        <v>330</v>
      </c>
      <c r="B89" s="15" t="s">
        <v>372</v>
      </c>
      <c r="C89" s="15" t="s">
        <v>55</v>
      </c>
      <c r="D89" s="15" t="s">
        <v>373</v>
      </c>
      <c r="E89" s="15" t="s">
        <v>337</v>
      </c>
      <c r="F89" s="15" t="s">
        <v>340</v>
      </c>
      <c r="G89" s="15" t="s">
        <v>333</v>
      </c>
      <c r="H89" s="15" t="s">
        <v>374</v>
      </c>
      <c r="I89" s="15" t="s">
        <v>375</v>
      </c>
      <c r="J89" s="15" t="s">
        <v>376</v>
      </c>
      <c r="K89" s="15"/>
      <c r="L89" s="15" t="s">
        <v>44</v>
      </c>
      <c r="M89" s="15" t="str">
        <f>'WEDOF - EXAMEN FINAL'!D89</f>
        <v>A faire</v>
      </c>
      <c r="N89" s="15" t="s">
        <v>44</v>
      </c>
      <c r="O89" s="15" t="s">
        <v>44</v>
      </c>
      <c r="P89" s="15" t="s">
        <v>44</v>
      </c>
      <c r="Q89" s="15" t="s">
        <v>44</v>
      </c>
      <c r="R89" s="15" t="s">
        <v>44</v>
      </c>
      <c r="S89" s="15" t="s">
        <v>44</v>
      </c>
      <c r="T89" s="15" t="s">
        <v>44</v>
      </c>
      <c r="U89" s="15" t="str">
        <f t="shared" si="1"/>
        <v>Analyse du besoin, CV, Questionnaire/Test, Contrat, Convocation, Eval intermediaire, Eval finale, Questionnaire satisfaction, Document de fin</v>
      </c>
      <c r="V89" s="16">
        <f t="shared" si="2"/>
        <v>0</v>
      </c>
      <c r="W89" s="15" t="str">
        <f t="shared" si="3"/>
        <v>A RELANCER : Analyse du besoin, CV, Questionnaire/Test, Contrat, Convocation, Eval intermediaire, Eval finale, Questionnaire satisfaction, Document de fin</v>
      </c>
      <c r="X89" s="15" t="str">
        <f t="shared" si="4"/>
        <v/>
      </c>
      <c r="Y89" s="11" t="s">
        <v>74</v>
      </c>
    </row>
    <row r="90" ht="15.0" customHeight="1">
      <c r="A90" s="15" t="s">
        <v>330</v>
      </c>
      <c r="B90" s="15" t="s">
        <v>377</v>
      </c>
      <c r="C90" s="15" t="s">
        <v>130</v>
      </c>
      <c r="D90" s="15" t="s">
        <v>56</v>
      </c>
      <c r="E90" s="15" t="s">
        <v>339</v>
      </c>
      <c r="F90" s="15" t="s">
        <v>340</v>
      </c>
      <c r="G90" s="15" t="s">
        <v>115</v>
      </c>
      <c r="H90" s="15" t="s">
        <v>378</v>
      </c>
      <c r="I90" s="15" t="s">
        <v>379</v>
      </c>
      <c r="J90" s="15" t="s">
        <v>380</v>
      </c>
      <c r="K90" s="15"/>
      <c r="L90" s="15" t="s">
        <v>44</v>
      </c>
      <c r="M90" s="15" t="str">
        <f>'WEDOF - EXAMEN FINAL'!D90</f>
        <v>A faire</v>
      </c>
      <c r="N90" s="15" t="s">
        <v>44</v>
      </c>
      <c r="O90" s="15" t="s">
        <v>44</v>
      </c>
      <c r="P90" s="15" t="s">
        <v>44</v>
      </c>
      <c r="Q90" s="15" t="s">
        <v>44</v>
      </c>
      <c r="R90" s="15" t="s">
        <v>44</v>
      </c>
      <c r="S90" s="15" t="s">
        <v>44</v>
      </c>
      <c r="T90" s="15" t="s">
        <v>44</v>
      </c>
      <c r="U90" s="15" t="str">
        <f t="shared" si="1"/>
        <v>Analyse du besoin, CV, Questionnaire/Test, Contrat, Convocation, Eval intermediaire, Eval finale, Questionnaire satisfaction, Document de fin</v>
      </c>
      <c r="V90" s="16">
        <f t="shared" si="2"/>
        <v>0</v>
      </c>
      <c r="W90" s="15" t="str">
        <f t="shared" si="3"/>
        <v>A RELANCER : Analyse du besoin, CV, Questionnaire/Test, Contrat, Convocation, Eval intermediaire, Eval finale, Questionnaire satisfaction, Document de fin</v>
      </c>
      <c r="X90" s="15" t="str">
        <f t="shared" si="4"/>
        <v/>
      </c>
      <c r="Y90" s="11" t="s">
        <v>74</v>
      </c>
    </row>
    <row r="91" ht="15.0" customHeight="1">
      <c r="A91" s="15" t="s">
        <v>330</v>
      </c>
      <c r="B91" s="15" t="s">
        <v>377</v>
      </c>
      <c r="C91" s="15" t="s">
        <v>130</v>
      </c>
      <c r="D91" s="15" t="s">
        <v>268</v>
      </c>
      <c r="E91" s="15" t="s">
        <v>337</v>
      </c>
      <c r="F91" s="15" t="s">
        <v>338</v>
      </c>
      <c r="G91" s="15" t="s">
        <v>333</v>
      </c>
      <c r="H91" s="15" t="s">
        <v>378</v>
      </c>
      <c r="I91" s="15"/>
      <c r="J91" s="15"/>
      <c r="K91" s="15"/>
      <c r="L91" s="15" t="s">
        <v>44</v>
      </c>
      <c r="M91" s="15" t="str">
        <f>'WEDOF - EXAMEN FINAL'!D91</f>
        <v>A faire</v>
      </c>
      <c r="N91" s="15" t="s">
        <v>44</v>
      </c>
      <c r="O91" s="15" t="s">
        <v>44</v>
      </c>
      <c r="P91" s="15" t="s">
        <v>44</v>
      </c>
      <c r="Q91" s="15" t="s">
        <v>44</v>
      </c>
      <c r="R91" s="15" t="s">
        <v>44</v>
      </c>
      <c r="S91" s="15" t="s">
        <v>44</v>
      </c>
      <c r="T91" s="15" t="s">
        <v>44</v>
      </c>
      <c r="U91" s="15" t="str">
        <f t="shared" si="1"/>
        <v>Analyse du besoin, CV, Questionnaire/Test, Contrat, Convocation, Eval intermediaire, Eval finale, Questionnaire satisfaction, Document de fin</v>
      </c>
      <c r="V91" s="16">
        <f t="shared" si="2"/>
        <v>0</v>
      </c>
      <c r="W91" s="15" t="str">
        <f t="shared" si="3"/>
        <v>A RELANCER : Analyse du besoin, CV, Questionnaire/Test, Contrat, Convocation, Eval intermediaire, Eval finale, Questionnaire satisfaction, Document de fin</v>
      </c>
      <c r="X91" s="15" t="str">
        <f t="shared" si="4"/>
        <v/>
      </c>
      <c r="Y91" s="11" t="s">
        <v>74</v>
      </c>
    </row>
    <row r="92" ht="15.0" customHeight="1">
      <c r="A92" s="15" t="s">
        <v>330</v>
      </c>
      <c r="B92" s="15" t="s">
        <v>381</v>
      </c>
      <c r="C92" s="15" t="s">
        <v>382</v>
      </c>
      <c r="D92" s="15" t="s">
        <v>56</v>
      </c>
      <c r="E92" s="15" t="s">
        <v>339</v>
      </c>
      <c r="F92" s="15" t="s">
        <v>340</v>
      </c>
      <c r="G92" s="15" t="s">
        <v>249</v>
      </c>
      <c r="H92" s="15" t="s">
        <v>383</v>
      </c>
      <c r="I92" s="15" t="s">
        <v>384</v>
      </c>
      <c r="J92" s="15" t="s">
        <v>385</v>
      </c>
      <c r="K92" s="15"/>
      <c r="L92" s="15" t="s">
        <v>44</v>
      </c>
      <c r="M92" s="15" t="str">
        <f>'WEDOF - EXAMEN FINAL'!D92</f>
        <v>A faire</v>
      </c>
      <c r="N92" s="15" t="s">
        <v>44</v>
      </c>
      <c r="O92" s="15" t="s">
        <v>47</v>
      </c>
      <c r="P92" s="15" t="s">
        <v>44</v>
      </c>
      <c r="Q92" s="15" t="s">
        <v>44</v>
      </c>
      <c r="R92" s="15" t="s">
        <v>44</v>
      </c>
      <c r="S92" s="15" t="s">
        <v>44</v>
      </c>
      <c r="T92" s="15" t="s">
        <v>44</v>
      </c>
      <c r="U92" s="15" t="str">
        <f t="shared" si="1"/>
        <v>Analyse du besoin, CV, Questionnaire/Test, Convocation, Eval intermediaire, Eval finale, Questionnaire satisfaction, Document de fin</v>
      </c>
      <c r="V92" s="16">
        <f t="shared" si="2"/>
        <v>0.1111111111</v>
      </c>
      <c r="W92" s="15" t="str">
        <f t="shared" si="3"/>
        <v>A RELANCER : Analyse du besoin, CV, Questionnaire/Test, Convocation, Eval intermediaire, Eval finale, Questionnaire satisfaction, Document de fin</v>
      </c>
      <c r="X92" s="15" t="str">
        <f t="shared" si="4"/>
        <v/>
      </c>
      <c r="Y92" s="11" t="s">
        <v>74</v>
      </c>
    </row>
    <row r="93" ht="15.0" customHeight="1">
      <c r="A93" s="15" t="s">
        <v>330</v>
      </c>
      <c r="B93" s="15" t="s">
        <v>381</v>
      </c>
      <c r="C93" s="15" t="s">
        <v>382</v>
      </c>
      <c r="D93" s="15" t="s">
        <v>268</v>
      </c>
      <c r="E93" s="15" t="s">
        <v>337</v>
      </c>
      <c r="F93" s="15" t="s">
        <v>338</v>
      </c>
      <c r="G93" s="15" t="s">
        <v>333</v>
      </c>
      <c r="H93" s="15" t="s">
        <v>383</v>
      </c>
      <c r="I93" s="15" t="s">
        <v>384</v>
      </c>
      <c r="J93" s="15"/>
      <c r="K93" s="15"/>
      <c r="L93" s="15" t="s">
        <v>44</v>
      </c>
      <c r="M93" s="15" t="str">
        <f>'WEDOF - EXAMEN FINAL'!D93</f>
        <v>A faire</v>
      </c>
      <c r="N93" s="15" t="s">
        <v>44</v>
      </c>
      <c r="O93" s="15" t="s">
        <v>44</v>
      </c>
      <c r="P93" s="15" t="s">
        <v>44</v>
      </c>
      <c r="Q93" s="15" t="s">
        <v>44</v>
      </c>
      <c r="R93" s="15" t="s">
        <v>44</v>
      </c>
      <c r="S93" s="15" t="s">
        <v>44</v>
      </c>
      <c r="T93" s="15" t="s">
        <v>44</v>
      </c>
      <c r="U93" s="15" t="str">
        <f t="shared" si="1"/>
        <v>Analyse du besoin, CV, Questionnaire/Test, Contrat, Convocation, Eval intermediaire, Eval finale, Questionnaire satisfaction, Document de fin</v>
      </c>
      <c r="V93" s="16">
        <f t="shared" si="2"/>
        <v>0</v>
      </c>
      <c r="W93" s="15" t="str">
        <f t="shared" si="3"/>
        <v>A RELANCER : Analyse du besoin, CV, Questionnaire/Test, Contrat, Convocation, Eval intermediaire, Eval finale, Questionnaire satisfaction, Document de fin</v>
      </c>
      <c r="X93" s="15" t="str">
        <f t="shared" si="4"/>
        <v/>
      </c>
      <c r="Y93" s="11" t="s">
        <v>74</v>
      </c>
    </row>
    <row r="94" ht="15.0" customHeight="1">
      <c r="A94" s="15" t="s">
        <v>330</v>
      </c>
      <c r="B94" s="15" t="s">
        <v>386</v>
      </c>
      <c r="C94" s="15" t="s">
        <v>332</v>
      </c>
      <c r="D94" s="15" t="s">
        <v>261</v>
      </c>
      <c r="E94" s="15" t="s">
        <v>247</v>
      </c>
      <c r="F94" s="15" t="s">
        <v>248</v>
      </c>
      <c r="G94" s="15" t="s">
        <v>115</v>
      </c>
      <c r="H94" s="15" t="s">
        <v>334</v>
      </c>
      <c r="I94" s="15" t="s">
        <v>387</v>
      </c>
      <c r="J94" s="15" t="s">
        <v>388</v>
      </c>
      <c r="K94" s="15"/>
      <c r="L94" s="15" t="s">
        <v>44</v>
      </c>
      <c r="M94" s="15" t="str">
        <f>'WEDOF - EXAMEN FINAL'!D94</f>
        <v>A faire</v>
      </c>
      <c r="N94" s="15" t="s">
        <v>44</v>
      </c>
      <c r="O94" s="15" t="s">
        <v>44</v>
      </c>
      <c r="P94" s="15" t="s">
        <v>44</v>
      </c>
      <c r="Q94" s="15" t="s">
        <v>44</v>
      </c>
      <c r="R94" s="15" t="s">
        <v>44</v>
      </c>
      <c r="S94" s="15" t="s">
        <v>44</v>
      </c>
      <c r="T94" s="15" t="s">
        <v>44</v>
      </c>
      <c r="U94" s="15" t="str">
        <f t="shared" si="1"/>
        <v>Analyse du besoin, CV, Questionnaire/Test, Contrat, Convocation, Eval intermediaire, Eval finale, Questionnaire satisfaction, Document de fin</v>
      </c>
      <c r="V94" s="16">
        <f t="shared" si="2"/>
        <v>0</v>
      </c>
      <c r="W94" s="15" t="str">
        <f t="shared" si="3"/>
        <v>A RELANCER : Analyse du besoin, CV, Questionnaire/Test, Contrat, Convocation, Eval intermediaire, Eval finale, Questionnaire satisfaction, Document de fin</v>
      </c>
      <c r="X94" s="15" t="str">
        <f t="shared" si="4"/>
        <v/>
      </c>
      <c r="Y94" s="11" t="s">
        <v>74</v>
      </c>
    </row>
    <row r="95" ht="15.0" customHeight="1">
      <c r="A95" s="15" t="s">
        <v>330</v>
      </c>
      <c r="B95" s="15" t="s">
        <v>386</v>
      </c>
      <c r="C95" s="15" t="s">
        <v>332</v>
      </c>
      <c r="D95" s="15" t="s">
        <v>268</v>
      </c>
      <c r="E95" s="15" t="s">
        <v>337</v>
      </c>
      <c r="F95" s="15" t="s">
        <v>338</v>
      </c>
      <c r="G95" s="15" t="s">
        <v>333</v>
      </c>
      <c r="H95" s="15" t="s">
        <v>334</v>
      </c>
      <c r="I95" s="15"/>
      <c r="J95" s="15"/>
      <c r="K95" s="15"/>
      <c r="L95" s="15" t="s">
        <v>44</v>
      </c>
      <c r="M95" s="15" t="str">
        <f>'WEDOF - EXAMEN FINAL'!D95</f>
        <v>A faire</v>
      </c>
      <c r="N95" s="15" t="s">
        <v>44</v>
      </c>
      <c r="O95" s="15" t="s">
        <v>44</v>
      </c>
      <c r="P95" s="15" t="s">
        <v>44</v>
      </c>
      <c r="Q95" s="15" t="s">
        <v>44</v>
      </c>
      <c r="R95" s="15" t="s">
        <v>44</v>
      </c>
      <c r="S95" s="15" t="s">
        <v>44</v>
      </c>
      <c r="T95" s="15" t="s">
        <v>44</v>
      </c>
      <c r="U95" s="15" t="str">
        <f t="shared" si="1"/>
        <v>Analyse du besoin, CV, Questionnaire/Test, Contrat, Convocation, Eval intermediaire, Eval finale, Questionnaire satisfaction, Document de fin</v>
      </c>
      <c r="V95" s="16">
        <f t="shared" si="2"/>
        <v>0</v>
      </c>
      <c r="W95" s="15" t="str">
        <f t="shared" si="3"/>
        <v>A RELANCER : Analyse du besoin, CV, Questionnaire/Test, Contrat, Convocation, Eval intermediaire, Eval finale, Questionnaire satisfaction, Document de fin</v>
      </c>
      <c r="X95" s="15" t="str">
        <f t="shared" si="4"/>
        <v/>
      </c>
      <c r="Y95" s="11" t="s">
        <v>74</v>
      </c>
    </row>
    <row r="96" ht="15.0" customHeight="1">
      <c r="A96" s="15" t="s">
        <v>330</v>
      </c>
      <c r="B96" s="15" t="s">
        <v>386</v>
      </c>
      <c r="C96" s="15" t="s">
        <v>332</v>
      </c>
      <c r="D96" s="15" t="s">
        <v>56</v>
      </c>
      <c r="E96" s="15" t="s">
        <v>339</v>
      </c>
      <c r="F96" s="15" t="s">
        <v>340</v>
      </c>
      <c r="G96" s="15" t="s">
        <v>115</v>
      </c>
      <c r="H96" s="15" t="s">
        <v>334</v>
      </c>
      <c r="I96" s="15"/>
      <c r="J96" s="15"/>
      <c r="K96" s="15"/>
      <c r="L96" s="15" t="s">
        <v>44</v>
      </c>
      <c r="M96" s="15" t="str">
        <f>'WEDOF - EXAMEN FINAL'!D96</f>
        <v>A faire</v>
      </c>
      <c r="N96" s="15" t="s">
        <v>44</v>
      </c>
      <c r="O96" s="15" t="s">
        <v>44</v>
      </c>
      <c r="P96" s="15" t="s">
        <v>44</v>
      </c>
      <c r="Q96" s="15" t="s">
        <v>44</v>
      </c>
      <c r="R96" s="15" t="s">
        <v>44</v>
      </c>
      <c r="S96" s="15" t="s">
        <v>44</v>
      </c>
      <c r="T96" s="15" t="s">
        <v>44</v>
      </c>
      <c r="U96" s="15" t="str">
        <f t="shared" si="1"/>
        <v>Analyse du besoin, CV, Questionnaire/Test, Contrat, Convocation, Eval intermediaire, Eval finale, Questionnaire satisfaction, Document de fin</v>
      </c>
      <c r="V96" s="16">
        <f t="shared" si="2"/>
        <v>0</v>
      </c>
      <c r="W96" s="15" t="str">
        <f t="shared" si="3"/>
        <v>A RELANCER : Analyse du besoin, CV, Questionnaire/Test, Contrat, Convocation, Eval intermediaire, Eval finale, Questionnaire satisfaction, Document de fin</v>
      </c>
      <c r="X96" s="15" t="str">
        <f t="shared" si="4"/>
        <v/>
      </c>
      <c r="Y96" s="11" t="s">
        <v>74</v>
      </c>
    </row>
    <row r="97" ht="15.0" customHeight="1">
      <c r="A97" s="15" t="s">
        <v>330</v>
      </c>
      <c r="B97" s="15" t="s">
        <v>389</v>
      </c>
      <c r="C97" s="15" t="s">
        <v>382</v>
      </c>
      <c r="D97" s="15" t="s">
        <v>261</v>
      </c>
      <c r="E97" s="15" t="s">
        <v>247</v>
      </c>
      <c r="F97" s="15" t="s">
        <v>248</v>
      </c>
      <c r="G97" s="15" t="s">
        <v>115</v>
      </c>
      <c r="H97" s="15" t="s">
        <v>390</v>
      </c>
      <c r="I97" s="15" t="s">
        <v>391</v>
      </c>
      <c r="J97" s="15" t="s">
        <v>392</v>
      </c>
      <c r="K97" s="15"/>
      <c r="L97" s="15" t="s">
        <v>44</v>
      </c>
      <c r="M97" s="15" t="str">
        <f>'WEDOF - EXAMEN FINAL'!D97</f>
        <v>A faire</v>
      </c>
      <c r="N97" s="15" t="s">
        <v>44</v>
      </c>
      <c r="O97" s="15" t="s">
        <v>44</v>
      </c>
      <c r="P97" s="15" t="s">
        <v>44</v>
      </c>
      <c r="Q97" s="15" t="s">
        <v>44</v>
      </c>
      <c r="R97" s="15" t="s">
        <v>44</v>
      </c>
      <c r="S97" s="15" t="s">
        <v>44</v>
      </c>
      <c r="T97" s="15" t="s">
        <v>44</v>
      </c>
      <c r="U97" s="15" t="str">
        <f t="shared" si="1"/>
        <v>Analyse du besoin, CV, Questionnaire/Test, Contrat, Convocation, Eval intermediaire, Eval finale, Questionnaire satisfaction, Document de fin</v>
      </c>
      <c r="V97" s="16">
        <f t="shared" si="2"/>
        <v>0</v>
      </c>
      <c r="W97" s="15" t="str">
        <f t="shared" si="3"/>
        <v>A RELANCER : Analyse du besoin, CV, Questionnaire/Test, Contrat, Convocation, Eval intermediaire, Eval finale, Questionnaire satisfaction, Document de fin</v>
      </c>
      <c r="X97" s="15" t="str">
        <f t="shared" si="4"/>
        <v/>
      </c>
      <c r="Y97" s="11" t="s">
        <v>74</v>
      </c>
    </row>
    <row r="98" ht="15.0" customHeight="1">
      <c r="A98" s="15" t="s">
        <v>330</v>
      </c>
      <c r="B98" s="15" t="s">
        <v>389</v>
      </c>
      <c r="C98" s="15" t="s">
        <v>382</v>
      </c>
      <c r="D98" s="15" t="s">
        <v>268</v>
      </c>
      <c r="E98" s="15" t="s">
        <v>337</v>
      </c>
      <c r="F98" s="15" t="s">
        <v>338</v>
      </c>
      <c r="G98" s="15" t="s">
        <v>333</v>
      </c>
      <c r="H98" s="15" t="s">
        <v>390</v>
      </c>
      <c r="I98" s="15"/>
      <c r="J98" s="15"/>
      <c r="K98" s="15"/>
      <c r="L98" s="15" t="s">
        <v>44</v>
      </c>
      <c r="M98" s="15" t="str">
        <f>'WEDOF - EXAMEN FINAL'!D98</f>
        <v>A faire</v>
      </c>
      <c r="N98" s="15" t="s">
        <v>44</v>
      </c>
      <c r="O98" s="15" t="s">
        <v>44</v>
      </c>
      <c r="P98" s="15" t="s">
        <v>44</v>
      </c>
      <c r="Q98" s="15" t="s">
        <v>44</v>
      </c>
      <c r="R98" s="15" t="s">
        <v>44</v>
      </c>
      <c r="S98" s="15" t="s">
        <v>44</v>
      </c>
      <c r="T98" s="15" t="s">
        <v>44</v>
      </c>
      <c r="U98" s="15" t="str">
        <f t="shared" si="1"/>
        <v>Analyse du besoin, CV, Questionnaire/Test, Contrat, Convocation, Eval intermediaire, Eval finale, Questionnaire satisfaction, Document de fin</v>
      </c>
      <c r="V98" s="16">
        <f t="shared" si="2"/>
        <v>0</v>
      </c>
      <c r="W98" s="15" t="str">
        <f t="shared" si="3"/>
        <v>A RELANCER : Analyse du besoin, CV, Questionnaire/Test, Contrat, Convocation, Eval intermediaire, Eval finale, Questionnaire satisfaction, Document de fin</v>
      </c>
      <c r="X98" s="15" t="str">
        <f t="shared" si="4"/>
        <v/>
      </c>
      <c r="Y98" s="11" t="s">
        <v>74</v>
      </c>
    </row>
    <row r="99" ht="15.0" customHeight="1">
      <c r="A99" s="15" t="s">
        <v>330</v>
      </c>
      <c r="B99" s="15" t="s">
        <v>389</v>
      </c>
      <c r="C99" s="15" t="s">
        <v>382</v>
      </c>
      <c r="D99" s="15" t="s">
        <v>56</v>
      </c>
      <c r="E99" s="15" t="s">
        <v>339</v>
      </c>
      <c r="F99" s="15" t="s">
        <v>340</v>
      </c>
      <c r="G99" s="15" t="s">
        <v>115</v>
      </c>
      <c r="H99" s="15" t="s">
        <v>390</v>
      </c>
      <c r="I99" s="15"/>
      <c r="J99" s="15"/>
      <c r="K99" s="15"/>
      <c r="L99" s="15" t="s">
        <v>44</v>
      </c>
      <c r="M99" s="15" t="str">
        <f>'WEDOF - EXAMEN FINAL'!D99</f>
        <v>A faire</v>
      </c>
      <c r="N99" s="15" t="s">
        <v>44</v>
      </c>
      <c r="O99" s="15" t="s">
        <v>44</v>
      </c>
      <c r="P99" s="15" t="s">
        <v>44</v>
      </c>
      <c r="Q99" s="15" t="s">
        <v>44</v>
      </c>
      <c r="R99" s="15" t="s">
        <v>44</v>
      </c>
      <c r="S99" s="15" t="s">
        <v>44</v>
      </c>
      <c r="T99" s="15" t="s">
        <v>44</v>
      </c>
      <c r="U99" s="15" t="str">
        <f t="shared" si="1"/>
        <v>Analyse du besoin, CV, Questionnaire/Test, Contrat, Convocation, Eval intermediaire, Eval finale, Questionnaire satisfaction, Document de fin</v>
      </c>
      <c r="V99" s="16">
        <f t="shared" si="2"/>
        <v>0</v>
      </c>
      <c r="W99" s="15" t="str">
        <f t="shared" si="3"/>
        <v>A RELANCER : Analyse du besoin, CV, Questionnaire/Test, Contrat, Convocation, Eval intermediaire, Eval finale, Questionnaire satisfaction, Document de fin</v>
      </c>
      <c r="X99" s="15" t="str">
        <f t="shared" si="4"/>
        <v/>
      </c>
      <c r="Y99" s="11" t="s">
        <v>74</v>
      </c>
    </row>
    <row r="100" ht="15.0" customHeight="1">
      <c r="A100" s="15" t="s">
        <v>330</v>
      </c>
      <c r="B100" s="15" t="s">
        <v>393</v>
      </c>
      <c r="C100" s="15" t="s">
        <v>332</v>
      </c>
      <c r="D100" s="15" t="s">
        <v>261</v>
      </c>
      <c r="E100" s="15" t="s">
        <v>247</v>
      </c>
      <c r="F100" s="15" t="s">
        <v>248</v>
      </c>
      <c r="G100" s="15" t="s">
        <v>115</v>
      </c>
      <c r="H100" s="15" t="s">
        <v>394</v>
      </c>
      <c r="I100" s="15" t="s">
        <v>395</v>
      </c>
      <c r="J100" s="15" t="s">
        <v>396</v>
      </c>
      <c r="K100" s="15"/>
      <c r="L100" s="15" t="s">
        <v>44</v>
      </c>
      <c r="M100" s="15" t="str">
        <f>'WEDOF - EXAMEN FINAL'!D100</f>
        <v>A faire</v>
      </c>
      <c r="N100" s="15" t="s">
        <v>44</v>
      </c>
      <c r="O100" s="15" t="s">
        <v>44</v>
      </c>
      <c r="P100" s="15" t="s">
        <v>44</v>
      </c>
      <c r="Q100" s="15" t="s">
        <v>44</v>
      </c>
      <c r="R100" s="15" t="s">
        <v>44</v>
      </c>
      <c r="S100" s="15" t="s">
        <v>44</v>
      </c>
      <c r="T100" s="15" t="s">
        <v>44</v>
      </c>
      <c r="U100" s="15" t="str">
        <f t="shared" si="1"/>
        <v>Analyse du besoin, CV, Questionnaire/Test, Contrat, Convocation, Eval intermediaire, Eval finale, Questionnaire satisfaction, Document de fin</v>
      </c>
      <c r="V100" s="16">
        <f t="shared" si="2"/>
        <v>0</v>
      </c>
      <c r="W100" s="15" t="str">
        <f t="shared" si="3"/>
        <v>A RELANCER : Analyse du besoin, CV, Questionnaire/Test, Contrat, Convocation, Eval intermediaire, Eval finale, Questionnaire satisfaction, Document de fin</v>
      </c>
      <c r="X100" s="15" t="str">
        <f t="shared" si="4"/>
        <v/>
      </c>
      <c r="Y100" s="11" t="s">
        <v>74</v>
      </c>
    </row>
    <row r="101" ht="15.0" customHeight="1">
      <c r="A101" s="15" t="s">
        <v>330</v>
      </c>
      <c r="B101" s="15" t="s">
        <v>393</v>
      </c>
      <c r="C101" s="15" t="s">
        <v>332</v>
      </c>
      <c r="D101" s="15" t="s">
        <v>268</v>
      </c>
      <c r="E101" s="15" t="s">
        <v>337</v>
      </c>
      <c r="F101" s="15" t="s">
        <v>338</v>
      </c>
      <c r="G101" s="15" t="s">
        <v>333</v>
      </c>
      <c r="H101" s="15" t="s">
        <v>394</v>
      </c>
      <c r="I101" s="15"/>
      <c r="J101" s="15"/>
      <c r="K101" s="15"/>
      <c r="L101" s="15" t="s">
        <v>44</v>
      </c>
      <c r="M101" s="15" t="str">
        <f>'WEDOF - EXAMEN FINAL'!D101</f>
        <v>A faire</v>
      </c>
      <c r="N101" s="15" t="s">
        <v>44</v>
      </c>
      <c r="O101" s="15" t="s">
        <v>44</v>
      </c>
      <c r="P101" s="15" t="s">
        <v>44</v>
      </c>
      <c r="Q101" s="15" t="s">
        <v>44</v>
      </c>
      <c r="R101" s="15" t="s">
        <v>44</v>
      </c>
      <c r="S101" s="15" t="s">
        <v>44</v>
      </c>
      <c r="T101" s="15" t="s">
        <v>44</v>
      </c>
      <c r="U101" s="15" t="str">
        <f t="shared" si="1"/>
        <v>Analyse du besoin, CV, Questionnaire/Test, Contrat, Convocation, Eval intermediaire, Eval finale, Questionnaire satisfaction, Document de fin</v>
      </c>
      <c r="V101" s="16">
        <f t="shared" si="2"/>
        <v>0</v>
      </c>
      <c r="W101" s="15" t="str">
        <f t="shared" si="3"/>
        <v>A RELANCER : Analyse du besoin, CV, Questionnaire/Test, Contrat, Convocation, Eval intermediaire, Eval finale, Questionnaire satisfaction, Document de fin</v>
      </c>
      <c r="X101" s="15" t="str">
        <f t="shared" si="4"/>
        <v/>
      </c>
      <c r="Y101" s="11" t="s">
        <v>74</v>
      </c>
    </row>
    <row r="102" ht="15.0" customHeight="1">
      <c r="A102" s="15" t="s">
        <v>330</v>
      </c>
      <c r="B102" s="15" t="s">
        <v>423</v>
      </c>
      <c r="C102" s="15" t="s">
        <v>287</v>
      </c>
      <c r="D102" s="15" t="s">
        <v>373</v>
      </c>
      <c r="E102" s="15" t="s">
        <v>424</v>
      </c>
      <c r="F102" s="15" t="s">
        <v>340</v>
      </c>
      <c r="G102" s="15" t="s">
        <v>333</v>
      </c>
      <c r="H102" s="15" t="s">
        <v>425</v>
      </c>
      <c r="I102" s="15" t="s">
        <v>426</v>
      </c>
      <c r="J102" s="15" t="s">
        <v>427</v>
      </c>
      <c r="K102" s="15"/>
      <c r="L102" s="15" t="s">
        <v>44</v>
      </c>
      <c r="M102" s="15" t="str">
        <f>'WEDOF - EXAMEN FINAL'!D102</f>
        <v>A faire</v>
      </c>
      <c r="N102" s="15" t="s">
        <v>44</v>
      </c>
      <c r="O102" s="15" t="s">
        <v>44</v>
      </c>
      <c r="P102" s="15" t="s">
        <v>44</v>
      </c>
      <c r="Q102" s="15" t="s">
        <v>44</v>
      </c>
      <c r="R102" s="15" t="s">
        <v>44</v>
      </c>
      <c r="S102" s="15" t="s">
        <v>44</v>
      </c>
      <c r="T102" s="15" t="s">
        <v>44</v>
      </c>
      <c r="U102" s="15" t="str">
        <f t="shared" si="1"/>
        <v>Analyse du besoin, CV, Questionnaire/Test, Contrat, Convocation, Eval intermediaire, Eval finale, Questionnaire satisfaction, Document de fin</v>
      </c>
      <c r="V102" s="16">
        <f t="shared" si="2"/>
        <v>0</v>
      </c>
      <c r="W102" s="15" t="str">
        <f t="shared" si="3"/>
        <v>A RELANCER : Analyse du besoin, CV, Questionnaire/Test, Contrat, Convocation, Eval intermediaire, Eval finale, Questionnaire satisfaction, Document de fin</v>
      </c>
      <c r="X102" s="15" t="str">
        <f t="shared" si="4"/>
        <v/>
      </c>
      <c r="Y102" s="11" t="s">
        <v>74</v>
      </c>
    </row>
    <row r="103" ht="15.0" customHeight="1">
      <c r="A103" s="15" t="s">
        <v>330</v>
      </c>
      <c r="B103" s="15" t="s">
        <v>428</v>
      </c>
      <c r="C103" s="15" t="s">
        <v>260</v>
      </c>
      <c r="D103" s="15" t="s">
        <v>261</v>
      </c>
      <c r="E103" s="15" t="s">
        <v>247</v>
      </c>
      <c r="F103" s="15" t="s">
        <v>248</v>
      </c>
      <c r="G103" s="15" t="s">
        <v>115</v>
      </c>
      <c r="H103" s="15" t="s">
        <v>429</v>
      </c>
      <c r="I103" s="15" t="s">
        <v>430</v>
      </c>
      <c r="J103" s="15" t="s">
        <v>431</v>
      </c>
      <c r="K103" s="15"/>
      <c r="L103" s="15" t="s">
        <v>44</v>
      </c>
      <c r="M103" s="15" t="str">
        <f>'WEDOF - EXAMEN FINAL'!D103</f>
        <v>A faire</v>
      </c>
      <c r="N103" s="15" t="s">
        <v>44</v>
      </c>
      <c r="O103" s="15" t="s">
        <v>44</v>
      </c>
      <c r="P103" s="15" t="s">
        <v>44</v>
      </c>
      <c r="Q103" s="15" t="s">
        <v>44</v>
      </c>
      <c r="R103" s="15" t="s">
        <v>44</v>
      </c>
      <c r="S103" s="15" t="s">
        <v>44</v>
      </c>
      <c r="T103" s="15" t="s">
        <v>44</v>
      </c>
      <c r="U103" s="15" t="str">
        <f t="shared" si="1"/>
        <v>Analyse du besoin, CV, Questionnaire/Test, Contrat, Convocation, Eval intermediaire, Eval finale, Questionnaire satisfaction, Document de fin</v>
      </c>
      <c r="V103" s="16">
        <f t="shared" si="2"/>
        <v>0</v>
      </c>
      <c r="W103" s="15" t="str">
        <f t="shared" si="3"/>
        <v>A RELANCER : Analyse du besoin, CV, Questionnaire/Test, Contrat, Convocation, Eval intermediaire, Eval finale, Questionnaire satisfaction, Document de fin</v>
      </c>
      <c r="X103" s="15" t="str">
        <f t="shared" si="4"/>
        <v/>
      </c>
      <c r="Y103" s="11" t="s">
        <v>74</v>
      </c>
    </row>
    <row r="104" ht="15.0" customHeight="1">
      <c r="A104" s="15" t="s">
        <v>330</v>
      </c>
      <c r="B104" s="15" t="s">
        <v>428</v>
      </c>
      <c r="C104" s="15" t="s">
        <v>260</v>
      </c>
      <c r="D104" s="15" t="s">
        <v>268</v>
      </c>
      <c r="E104" s="15" t="s">
        <v>262</v>
      </c>
      <c r="F104" s="15" t="s">
        <v>263</v>
      </c>
      <c r="G104" s="15" t="s">
        <v>115</v>
      </c>
      <c r="H104" s="15" t="s">
        <v>429</v>
      </c>
      <c r="I104" s="15"/>
      <c r="J104" s="15"/>
      <c r="K104" s="15"/>
      <c r="L104" s="15" t="s">
        <v>44</v>
      </c>
      <c r="M104" s="15" t="str">
        <f>'WEDOF - EXAMEN FINAL'!D104</f>
        <v>A faire</v>
      </c>
      <c r="N104" s="15" t="s">
        <v>44</v>
      </c>
      <c r="O104" s="15" t="s">
        <v>44</v>
      </c>
      <c r="P104" s="15" t="s">
        <v>44</v>
      </c>
      <c r="Q104" s="15" t="s">
        <v>44</v>
      </c>
      <c r="R104" s="15" t="s">
        <v>44</v>
      </c>
      <c r="S104" s="15" t="s">
        <v>44</v>
      </c>
      <c r="T104" s="15" t="s">
        <v>44</v>
      </c>
      <c r="U104" s="15" t="str">
        <f t="shared" si="1"/>
        <v>Analyse du besoin, CV, Questionnaire/Test, Contrat, Convocation, Eval intermediaire, Eval finale, Questionnaire satisfaction, Document de fin</v>
      </c>
      <c r="V104" s="16">
        <f t="shared" si="2"/>
        <v>0</v>
      </c>
      <c r="W104" s="15" t="str">
        <f t="shared" si="3"/>
        <v>A RELANCER : Analyse du besoin, CV, Questionnaire/Test, Contrat, Convocation, Eval intermediaire, Eval finale, Questionnaire satisfaction, Document de fin</v>
      </c>
      <c r="X104" s="15" t="str">
        <f t="shared" si="4"/>
        <v/>
      </c>
      <c r="Y104" s="11" t="s">
        <v>74</v>
      </c>
    </row>
    <row r="105" ht="15.0" customHeight="1">
      <c r="A105" s="15" t="s">
        <v>330</v>
      </c>
      <c r="B105" s="15" t="s">
        <v>432</v>
      </c>
      <c r="C105" s="15" t="s">
        <v>287</v>
      </c>
      <c r="D105" s="15" t="s">
        <v>261</v>
      </c>
      <c r="E105" s="15" t="s">
        <v>247</v>
      </c>
      <c r="F105" s="15" t="s">
        <v>248</v>
      </c>
      <c r="G105" s="15" t="s">
        <v>115</v>
      </c>
      <c r="H105" s="15" t="s">
        <v>433</v>
      </c>
      <c r="I105" s="15" t="s">
        <v>434</v>
      </c>
      <c r="J105" s="15" t="s">
        <v>435</v>
      </c>
      <c r="K105" s="15"/>
      <c r="L105" s="15" t="s">
        <v>44</v>
      </c>
      <c r="M105" s="15" t="str">
        <f>'WEDOF - EXAMEN FINAL'!D105</f>
        <v>A faire</v>
      </c>
      <c r="N105" s="15" t="s">
        <v>44</v>
      </c>
      <c r="O105" s="15" t="s">
        <v>44</v>
      </c>
      <c r="P105" s="15" t="s">
        <v>44</v>
      </c>
      <c r="Q105" s="15" t="s">
        <v>44</v>
      </c>
      <c r="R105" s="15" t="s">
        <v>44</v>
      </c>
      <c r="S105" s="15" t="s">
        <v>44</v>
      </c>
      <c r="T105" s="15" t="s">
        <v>44</v>
      </c>
      <c r="U105" s="15" t="str">
        <f t="shared" si="1"/>
        <v>Analyse du besoin, CV, Questionnaire/Test, Contrat, Convocation, Eval intermediaire, Eval finale, Questionnaire satisfaction, Document de fin</v>
      </c>
      <c r="V105" s="16">
        <f t="shared" si="2"/>
        <v>0</v>
      </c>
      <c r="W105" s="15" t="str">
        <f t="shared" si="3"/>
        <v>A RELANCER : Analyse du besoin, CV, Questionnaire/Test, Contrat, Convocation, Eval intermediaire, Eval finale, Questionnaire satisfaction, Document de fin</v>
      </c>
      <c r="X105" s="15" t="str">
        <f t="shared" si="4"/>
        <v/>
      </c>
      <c r="Y105" s="11" t="s">
        <v>74</v>
      </c>
    </row>
    <row r="106" ht="15.0" customHeight="1">
      <c r="A106" s="15" t="s">
        <v>330</v>
      </c>
      <c r="B106" s="15" t="s">
        <v>432</v>
      </c>
      <c r="C106" s="15" t="s">
        <v>287</v>
      </c>
      <c r="D106" s="15" t="s">
        <v>268</v>
      </c>
      <c r="E106" s="15" t="s">
        <v>262</v>
      </c>
      <c r="F106" s="15" t="s">
        <v>263</v>
      </c>
      <c r="G106" s="15" t="s">
        <v>115</v>
      </c>
      <c r="H106" s="15" t="s">
        <v>433</v>
      </c>
      <c r="I106" s="15"/>
      <c r="J106" s="15"/>
      <c r="K106" s="15"/>
      <c r="L106" s="15" t="s">
        <v>44</v>
      </c>
      <c r="M106" s="15" t="str">
        <f>'WEDOF - EXAMEN FINAL'!D106</f>
        <v>A faire</v>
      </c>
      <c r="N106" s="15" t="s">
        <v>44</v>
      </c>
      <c r="O106" s="15" t="s">
        <v>44</v>
      </c>
      <c r="P106" s="15" t="s">
        <v>44</v>
      </c>
      <c r="Q106" s="15" t="s">
        <v>44</v>
      </c>
      <c r="R106" s="15" t="s">
        <v>44</v>
      </c>
      <c r="S106" s="15" t="s">
        <v>44</v>
      </c>
      <c r="T106" s="15" t="s">
        <v>44</v>
      </c>
      <c r="U106" s="15" t="str">
        <f t="shared" si="1"/>
        <v>Analyse du besoin, CV, Questionnaire/Test, Contrat, Convocation, Eval intermediaire, Eval finale, Questionnaire satisfaction, Document de fin</v>
      </c>
      <c r="V106" s="16">
        <f t="shared" si="2"/>
        <v>0</v>
      </c>
      <c r="W106" s="15" t="str">
        <f t="shared" si="3"/>
        <v>A RELANCER : Analyse du besoin, CV, Questionnaire/Test, Contrat, Convocation, Eval intermediaire, Eval finale, Questionnaire satisfaction, Document de fin</v>
      </c>
      <c r="X106" s="15" t="str">
        <f t="shared" si="4"/>
        <v/>
      </c>
      <c r="Y106" s="11" t="s">
        <v>74</v>
      </c>
    </row>
    <row r="107" ht="15.0" customHeight="1">
      <c r="A107" s="15" t="s">
        <v>330</v>
      </c>
      <c r="B107" s="15" t="s">
        <v>442</v>
      </c>
      <c r="C107" s="15" t="s">
        <v>76</v>
      </c>
      <c r="D107" s="15" t="s">
        <v>261</v>
      </c>
      <c r="E107" s="15" t="s">
        <v>247</v>
      </c>
      <c r="F107" s="15" t="s">
        <v>248</v>
      </c>
      <c r="G107" s="15" t="s">
        <v>115</v>
      </c>
      <c r="H107" s="15" t="s">
        <v>443</v>
      </c>
      <c r="I107" s="15" t="s">
        <v>444</v>
      </c>
      <c r="J107" s="15" t="s">
        <v>445</v>
      </c>
      <c r="K107" s="15"/>
      <c r="L107" s="15" t="s">
        <v>44</v>
      </c>
      <c r="M107" s="15" t="str">
        <f>'WEDOF - EXAMEN FINAL'!D107</f>
        <v>A faire</v>
      </c>
      <c r="N107" s="15" t="s">
        <v>44</v>
      </c>
      <c r="O107" s="15" t="s">
        <v>44</v>
      </c>
      <c r="P107" s="15" t="s">
        <v>44</v>
      </c>
      <c r="Q107" s="15" t="s">
        <v>44</v>
      </c>
      <c r="R107" s="15" t="s">
        <v>44</v>
      </c>
      <c r="S107" s="15" t="s">
        <v>44</v>
      </c>
      <c r="T107" s="15" t="s">
        <v>44</v>
      </c>
      <c r="U107" s="15" t="str">
        <f t="shared" si="1"/>
        <v>Analyse du besoin, CV, Questionnaire/Test, Contrat, Convocation, Eval intermediaire, Eval finale, Questionnaire satisfaction, Document de fin</v>
      </c>
      <c r="V107" s="16">
        <f t="shared" si="2"/>
        <v>0</v>
      </c>
      <c r="W107" s="15" t="str">
        <f t="shared" si="3"/>
        <v>A RELANCER : Analyse du besoin, CV, Questionnaire/Test, Contrat, Convocation, Eval intermediaire, Eval finale, Questionnaire satisfaction, Document de fin</v>
      </c>
      <c r="X107" s="15" t="str">
        <f t="shared" si="4"/>
        <v/>
      </c>
      <c r="Y107" s="11" t="s">
        <v>74</v>
      </c>
    </row>
    <row r="108" ht="15.0" customHeight="1">
      <c r="A108" s="15" t="s">
        <v>330</v>
      </c>
      <c r="B108" s="15" t="s">
        <v>442</v>
      </c>
      <c r="C108" s="15" t="s">
        <v>76</v>
      </c>
      <c r="D108" s="15" t="s">
        <v>268</v>
      </c>
      <c r="E108" s="15" t="s">
        <v>262</v>
      </c>
      <c r="F108" s="15" t="s">
        <v>263</v>
      </c>
      <c r="G108" s="15" t="s">
        <v>115</v>
      </c>
      <c r="H108" s="15" t="s">
        <v>443</v>
      </c>
      <c r="I108" s="15"/>
      <c r="J108" s="15"/>
      <c r="K108" s="15"/>
      <c r="L108" s="15" t="s">
        <v>44</v>
      </c>
      <c r="M108" s="15" t="str">
        <f>'WEDOF - EXAMEN FINAL'!D108</f>
        <v>A faire</v>
      </c>
      <c r="N108" s="15" t="s">
        <v>44</v>
      </c>
      <c r="O108" s="15" t="s">
        <v>44</v>
      </c>
      <c r="P108" s="15" t="s">
        <v>44</v>
      </c>
      <c r="Q108" s="15" t="s">
        <v>44</v>
      </c>
      <c r="R108" s="15" t="s">
        <v>44</v>
      </c>
      <c r="S108" s="15" t="s">
        <v>44</v>
      </c>
      <c r="T108" s="15" t="s">
        <v>44</v>
      </c>
      <c r="U108" s="15" t="str">
        <f t="shared" si="1"/>
        <v>Analyse du besoin, CV, Questionnaire/Test, Contrat, Convocation, Eval intermediaire, Eval finale, Questionnaire satisfaction, Document de fin</v>
      </c>
      <c r="V108" s="16">
        <f t="shared" si="2"/>
        <v>0</v>
      </c>
      <c r="W108" s="15" t="str">
        <f t="shared" si="3"/>
        <v>A RELANCER : Analyse du besoin, CV, Questionnaire/Test, Contrat, Convocation, Eval intermediaire, Eval finale, Questionnaire satisfaction, Document de fin</v>
      </c>
      <c r="X108" s="15" t="str">
        <f t="shared" si="4"/>
        <v/>
      </c>
      <c r="Y108" s="11" t="s">
        <v>74</v>
      </c>
    </row>
    <row r="109" ht="15.0" customHeight="1">
      <c r="A109" s="15" t="s">
        <v>330</v>
      </c>
      <c r="B109" s="15" t="s">
        <v>442</v>
      </c>
      <c r="C109" s="15" t="s">
        <v>76</v>
      </c>
      <c r="D109" s="15" t="s">
        <v>56</v>
      </c>
      <c r="E109" s="15" t="s">
        <v>339</v>
      </c>
      <c r="F109" s="15" t="s">
        <v>340</v>
      </c>
      <c r="G109" s="15" t="s">
        <v>115</v>
      </c>
      <c r="H109" s="15" t="s">
        <v>443</v>
      </c>
      <c r="I109" s="15"/>
      <c r="J109" s="15"/>
      <c r="K109" s="15"/>
      <c r="L109" s="15" t="s">
        <v>44</v>
      </c>
      <c r="M109" s="15" t="str">
        <f>'WEDOF - EXAMEN FINAL'!D109</f>
        <v>A faire</v>
      </c>
      <c r="N109" s="15" t="s">
        <v>44</v>
      </c>
      <c r="O109" s="15" t="s">
        <v>44</v>
      </c>
      <c r="P109" s="15" t="s">
        <v>44</v>
      </c>
      <c r="Q109" s="15" t="s">
        <v>44</v>
      </c>
      <c r="R109" s="15" t="s">
        <v>44</v>
      </c>
      <c r="S109" s="15" t="s">
        <v>44</v>
      </c>
      <c r="T109" s="15" t="s">
        <v>44</v>
      </c>
      <c r="U109" s="15" t="str">
        <f t="shared" si="1"/>
        <v>Analyse du besoin, CV, Questionnaire/Test, Contrat, Convocation, Eval intermediaire, Eval finale, Questionnaire satisfaction, Document de fin</v>
      </c>
      <c r="V109" s="16">
        <f t="shared" si="2"/>
        <v>0</v>
      </c>
      <c r="W109" s="15" t="str">
        <f t="shared" si="3"/>
        <v>A RELANCER : Analyse du besoin, CV, Questionnaire/Test, Contrat, Convocation, Eval intermediaire, Eval finale, Questionnaire satisfaction, Document de fin</v>
      </c>
      <c r="X109" s="15" t="str">
        <f t="shared" si="4"/>
        <v/>
      </c>
      <c r="Y109" s="11" t="s">
        <v>74</v>
      </c>
    </row>
    <row r="110" ht="15.0" customHeight="1">
      <c r="A110" s="15" t="s">
        <v>330</v>
      </c>
      <c r="B110" s="15" t="s">
        <v>446</v>
      </c>
      <c r="C110" s="15" t="s">
        <v>55</v>
      </c>
      <c r="D110" s="15" t="s">
        <v>261</v>
      </c>
      <c r="E110" s="15" t="s">
        <v>247</v>
      </c>
      <c r="F110" s="15" t="s">
        <v>248</v>
      </c>
      <c r="G110" s="15" t="s">
        <v>115</v>
      </c>
      <c r="H110" s="15" t="s">
        <v>447</v>
      </c>
      <c r="I110" s="15" t="s">
        <v>448</v>
      </c>
      <c r="J110" s="15" t="s">
        <v>449</v>
      </c>
      <c r="K110" s="15"/>
      <c r="L110" s="15" t="s">
        <v>44</v>
      </c>
      <c r="M110" s="15" t="str">
        <f>'WEDOF - EXAMEN FINAL'!D110</f>
        <v>A faire</v>
      </c>
      <c r="N110" s="15" t="s">
        <v>44</v>
      </c>
      <c r="O110" s="15" t="s">
        <v>44</v>
      </c>
      <c r="P110" s="15" t="s">
        <v>44</v>
      </c>
      <c r="Q110" s="15" t="s">
        <v>44</v>
      </c>
      <c r="R110" s="15" t="s">
        <v>44</v>
      </c>
      <c r="S110" s="15" t="s">
        <v>44</v>
      </c>
      <c r="T110" s="15" t="s">
        <v>44</v>
      </c>
      <c r="U110" s="15" t="str">
        <f t="shared" si="1"/>
        <v>Analyse du besoin, CV, Questionnaire/Test, Contrat, Convocation, Eval intermediaire, Eval finale, Questionnaire satisfaction, Document de fin</v>
      </c>
      <c r="V110" s="16">
        <f t="shared" si="2"/>
        <v>0</v>
      </c>
      <c r="W110" s="15" t="str">
        <f t="shared" si="3"/>
        <v>A RELANCER : Analyse du besoin, CV, Questionnaire/Test, Contrat, Convocation, Eval intermediaire, Eval finale, Questionnaire satisfaction, Document de fin</v>
      </c>
      <c r="X110" s="15" t="str">
        <f t="shared" si="4"/>
        <v/>
      </c>
      <c r="Y110" s="11" t="s">
        <v>74</v>
      </c>
    </row>
    <row r="111" ht="15.0" customHeight="1">
      <c r="A111" s="15" t="s">
        <v>330</v>
      </c>
      <c r="B111" s="15" t="s">
        <v>446</v>
      </c>
      <c r="C111" s="15" t="s">
        <v>55</v>
      </c>
      <c r="D111" s="15" t="s">
        <v>268</v>
      </c>
      <c r="E111" s="15" t="s">
        <v>262</v>
      </c>
      <c r="F111" s="15" t="s">
        <v>263</v>
      </c>
      <c r="G111" s="15" t="s">
        <v>115</v>
      </c>
      <c r="H111" s="15" t="s">
        <v>447</v>
      </c>
      <c r="I111" s="15"/>
      <c r="J111" s="15"/>
      <c r="K111" s="15"/>
      <c r="L111" s="15" t="s">
        <v>44</v>
      </c>
      <c r="M111" s="15" t="str">
        <f>'WEDOF - EXAMEN FINAL'!D111</f>
        <v>A faire</v>
      </c>
      <c r="N111" s="15" t="s">
        <v>44</v>
      </c>
      <c r="O111" s="15" t="s">
        <v>44</v>
      </c>
      <c r="P111" s="15" t="s">
        <v>44</v>
      </c>
      <c r="Q111" s="15" t="s">
        <v>44</v>
      </c>
      <c r="R111" s="15" t="s">
        <v>44</v>
      </c>
      <c r="S111" s="15" t="s">
        <v>44</v>
      </c>
      <c r="T111" s="15" t="s">
        <v>44</v>
      </c>
      <c r="U111" s="15" t="str">
        <f t="shared" si="1"/>
        <v>Analyse du besoin, CV, Questionnaire/Test, Contrat, Convocation, Eval intermediaire, Eval finale, Questionnaire satisfaction, Document de fin</v>
      </c>
      <c r="V111" s="16">
        <f t="shared" si="2"/>
        <v>0</v>
      </c>
      <c r="W111" s="15" t="str">
        <f t="shared" si="3"/>
        <v>A RELANCER : Analyse du besoin, CV, Questionnaire/Test, Contrat, Convocation, Eval intermediaire, Eval finale, Questionnaire satisfaction, Document de fin</v>
      </c>
      <c r="X111" s="15" t="str">
        <f t="shared" si="4"/>
        <v/>
      </c>
      <c r="Y111" s="11" t="s">
        <v>74</v>
      </c>
    </row>
    <row r="112" ht="15.0" customHeight="1">
      <c r="A112" s="15" t="s">
        <v>330</v>
      </c>
      <c r="B112" s="15" t="s">
        <v>446</v>
      </c>
      <c r="C112" s="15" t="s">
        <v>55</v>
      </c>
      <c r="D112" s="15" t="s">
        <v>56</v>
      </c>
      <c r="E112" s="15" t="s">
        <v>339</v>
      </c>
      <c r="F112" s="15" t="s">
        <v>340</v>
      </c>
      <c r="G112" s="15" t="s">
        <v>115</v>
      </c>
      <c r="H112" s="15" t="s">
        <v>447</v>
      </c>
      <c r="I112" s="15"/>
      <c r="J112" s="15"/>
      <c r="K112" s="15"/>
      <c r="L112" s="15" t="s">
        <v>44</v>
      </c>
      <c r="M112" s="15" t="str">
        <f>'WEDOF - EXAMEN FINAL'!D112</f>
        <v>A faire</v>
      </c>
      <c r="N112" s="15" t="s">
        <v>44</v>
      </c>
      <c r="O112" s="15" t="s">
        <v>44</v>
      </c>
      <c r="P112" s="15" t="s">
        <v>44</v>
      </c>
      <c r="Q112" s="15" t="s">
        <v>44</v>
      </c>
      <c r="R112" s="15" t="s">
        <v>44</v>
      </c>
      <c r="S112" s="15" t="s">
        <v>44</v>
      </c>
      <c r="T112" s="15" t="s">
        <v>44</v>
      </c>
      <c r="U112" s="15" t="str">
        <f t="shared" si="1"/>
        <v>Analyse du besoin, CV, Questionnaire/Test, Contrat, Convocation, Eval intermediaire, Eval finale, Questionnaire satisfaction, Document de fin</v>
      </c>
      <c r="V112" s="16">
        <f t="shared" si="2"/>
        <v>0</v>
      </c>
      <c r="W112" s="15" t="str">
        <f t="shared" si="3"/>
        <v>A RELANCER : Analyse du besoin, CV, Questionnaire/Test, Contrat, Convocation, Eval intermediaire, Eval finale, Questionnaire satisfaction, Document de fin</v>
      </c>
      <c r="X112" s="15" t="str">
        <f t="shared" si="4"/>
        <v/>
      </c>
      <c r="Y112" s="11" t="s">
        <v>74</v>
      </c>
    </row>
    <row r="113" ht="15.0" customHeight="1">
      <c r="A113" s="15" t="s">
        <v>330</v>
      </c>
      <c r="B113" s="15" t="s">
        <v>455</v>
      </c>
      <c r="C113" s="15" t="s">
        <v>457</v>
      </c>
      <c r="D113" s="15" t="s">
        <v>261</v>
      </c>
      <c r="E113" s="15" t="s">
        <v>262</v>
      </c>
      <c r="F113" s="15" t="s">
        <v>263</v>
      </c>
      <c r="G113" s="15" t="s">
        <v>115</v>
      </c>
      <c r="H113" s="15" t="s">
        <v>462</v>
      </c>
      <c r="I113" s="15" t="s">
        <v>463</v>
      </c>
      <c r="J113" s="15" t="s">
        <v>464</v>
      </c>
      <c r="K113" s="15"/>
      <c r="L113" s="15" t="s">
        <v>44</v>
      </c>
      <c r="M113" s="15" t="str">
        <f>'WEDOF - EXAMEN FINAL'!D113</f>
        <v>A faire</v>
      </c>
      <c r="N113" s="15" t="s">
        <v>44</v>
      </c>
      <c r="O113" s="15" t="s">
        <v>44</v>
      </c>
      <c r="P113" s="15" t="s">
        <v>44</v>
      </c>
      <c r="Q113" s="15" t="s">
        <v>44</v>
      </c>
      <c r="R113" s="15" t="s">
        <v>44</v>
      </c>
      <c r="S113" s="15" t="s">
        <v>44</v>
      </c>
      <c r="T113" s="15" t="s">
        <v>44</v>
      </c>
      <c r="U113" s="15" t="str">
        <f t="shared" si="1"/>
        <v>Analyse du besoin, CV, Questionnaire/Test, Contrat, Convocation, Eval intermediaire, Eval finale, Questionnaire satisfaction, Document de fin</v>
      </c>
      <c r="V113" s="16">
        <f t="shared" si="2"/>
        <v>0</v>
      </c>
      <c r="W113" s="15" t="str">
        <f t="shared" si="3"/>
        <v>A RELANCER : Analyse du besoin, CV, Questionnaire/Test, Contrat, Convocation, Eval intermediaire, Eval finale, Questionnaire satisfaction, Document de fin</v>
      </c>
      <c r="X113" s="15" t="str">
        <f t="shared" si="4"/>
        <v/>
      </c>
      <c r="Y113" s="11" t="s">
        <v>74</v>
      </c>
    </row>
    <row r="114" ht="15.0" customHeight="1">
      <c r="A114" s="15" t="s">
        <v>330</v>
      </c>
      <c r="B114" s="15" t="s">
        <v>455</v>
      </c>
      <c r="C114" s="15" t="s">
        <v>457</v>
      </c>
      <c r="D114" s="15" t="s">
        <v>268</v>
      </c>
      <c r="E114" s="15" t="s">
        <v>271</v>
      </c>
      <c r="F114" s="15" t="s">
        <v>272</v>
      </c>
      <c r="G114" s="15" t="s">
        <v>115</v>
      </c>
      <c r="H114" s="15" t="s">
        <v>462</v>
      </c>
      <c r="I114" s="15"/>
      <c r="J114" s="15"/>
      <c r="K114" s="15"/>
      <c r="L114" s="15" t="s">
        <v>44</v>
      </c>
      <c r="M114" s="15" t="str">
        <f>'WEDOF - EXAMEN FINAL'!D114</f>
        <v>A faire</v>
      </c>
      <c r="N114" s="15" t="s">
        <v>44</v>
      </c>
      <c r="O114" s="15" t="s">
        <v>44</v>
      </c>
      <c r="P114" s="15" t="s">
        <v>44</v>
      </c>
      <c r="Q114" s="15" t="s">
        <v>44</v>
      </c>
      <c r="R114" s="15" t="s">
        <v>44</v>
      </c>
      <c r="S114" s="15" t="s">
        <v>44</v>
      </c>
      <c r="T114" s="15" t="s">
        <v>44</v>
      </c>
      <c r="U114" s="15" t="str">
        <f t="shared" si="1"/>
        <v>Analyse du besoin, CV, Questionnaire/Test, Contrat, Convocation, Eval intermediaire, Eval finale, Questionnaire satisfaction, Document de fin</v>
      </c>
      <c r="V114" s="16">
        <f t="shared" si="2"/>
        <v>0</v>
      </c>
      <c r="W114" s="15" t="str">
        <f t="shared" si="3"/>
        <v>A RELANCER : Analyse du besoin, CV, Questionnaire/Test, Contrat, Convocation, Eval intermediaire, Eval finale, Questionnaire satisfaction, Document de fin</v>
      </c>
      <c r="X114" s="15" t="str">
        <f t="shared" si="4"/>
        <v/>
      </c>
      <c r="Y114" s="11" t="s">
        <v>74</v>
      </c>
    </row>
    <row r="115" ht="15.0" customHeight="1">
      <c r="A115" s="15" t="s">
        <v>330</v>
      </c>
      <c r="B115" s="15" t="s">
        <v>467</v>
      </c>
      <c r="C115" s="15" t="s">
        <v>457</v>
      </c>
      <c r="D115" s="15" t="s">
        <v>373</v>
      </c>
      <c r="E115" s="15" t="s">
        <v>271</v>
      </c>
      <c r="F115" s="15" t="s">
        <v>272</v>
      </c>
      <c r="G115" s="15" t="s">
        <v>115</v>
      </c>
      <c r="H115" s="15" t="s">
        <v>468</v>
      </c>
      <c r="I115" s="15" t="s">
        <v>469</v>
      </c>
      <c r="J115" s="15" t="s">
        <v>470</v>
      </c>
      <c r="K115" s="15"/>
      <c r="L115" s="15" t="s">
        <v>44</v>
      </c>
      <c r="M115" s="15" t="str">
        <f>'WEDOF - EXAMEN FINAL'!D115</f>
        <v>A faire</v>
      </c>
      <c r="N115" s="15" t="s">
        <v>44</v>
      </c>
      <c r="O115" s="15" t="s">
        <v>44</v>
      </c>
      <c r="P115" s="15" t="s">
        <v>44</v>
      </c>
      <c r="Q115" s="15" t="s">
        <v>44</v>
      </c>
      <c r="R115" s="15" t="s">
        <v>44</v>
      </c>
      <c r="S115" s="15" t="s">
        <v>44</v>
      </c>
      <c r="T115" s="15" t="s">
        <v>44</v>
      </c>
      <c r="U115" s="15" t="str">
        <f t="shared" si="1"/>
        <v>Analyse du besoin, CV, Questionnaire/Test, Contrat, Convocation, Eval intermediaire, Eval finale, Questionnaire satisfaction, Document de fin</v>
      </c>
      <c r="V115" s="16">
        <f t="shared" si="2"/>
        <v>0</v>
      </c>
      <c r="W115" s="15" t="str">
        <f t="shared" si="3"/>
        <v>A RELANCER : Analyse du besoin, CV, Questionnaire/Test, Contrat, Convocation, Eval intermediaire, Eval finale, Questionnaire satisfaction, Document de fin</v>
      </c>
      <c r="X115" s="15" t="str">
        <f t="shared" si="4"/>
        <v/>
      </c>
      <c r="Y115" s="11" t="s">
        <v>74</v>
      </c>
    </row>
    <row r="116" ht="15.0" customHeight="1">
      <c r="A116" s="15" t="s">
        <v>330</v>
      </c>
      <c r="B116" s="15" t="s">
        <v>472</v>
      </c>
      <c r="C116" s="15"/>
      <c r="D116" s="15" t="s">
        <v>268</v>
      </c>
      <c r="E116" s="15" t="s">
        <v>271</v>
      </c>
      <c r="F116" s="15" t="s">
        <v>272</v>
      </c>
      <c r="G116" s="15" t="s">
        <v>249</v>
      </c>
      <c r="H116" s="15" t="s">
        <v>473</v>
      </c>
      <c r="I116" s="15" t="s">
        <v>474</v>
      </c>
      <c r="J116" s="15" t="s">
        <v>475</v>
      </c>
      <c r="K116" s="15"/>
      <c r="L116" s="15" t="s">
        <v>44</v>
      </c>
      <c r="M116" s="15" t="str">
        <f>'WEDOF - EXAMEN FINAL'!D116</f>
        <v>A faire</v>
      </c>
      <c r="N116" s="15" t="s">
        <v>44</v>
      </c>
      <c r="O116" s="15" t="s">
        <v>44</v>
      </c>
      <c r="P116" s="15" t="s">
        <v>44</v>
      </c>
      <c r="Q116" s="15" t="s">
        <v>44</v>
      </c>
      <c r="R116" s="15" t="s">
        <v>44</v>
      </c>
      <c r="S116" s="15" t="s">
        <v>44</v>
      </c>
      <c r="T116" s="15" t="s">
        <v>44</v>
      </c>
      <c r="U116" s="15" t="str">
        <f t="shared" si="1"/>
        <v>Analyse du besoin, CV, Questionnaire/Test, Contrat, Convocation, Eval intermediaire, Eval finale, Questionnaire satisfaction, Document de fin</v>
      </c>
      <c r="V116" s="16">
        <f t="shared" si="2"/>
        <v>0</v>
      </c>
      <c r="W116" s="15" t="str">
        <f t="shared" si="3"/>
        <v>A RELANCER : Analyse du besoin, CV, Questionnaire/Test, Contrat, Convocation, Eval intermediaire, Eval finale, Questionnaire satisfaction, Document de fin</v>
      </c>
      <c r="X116" s="15" t="str">
        <f t="shared" si="4"/>
        <v/>
      </c>
      <c r="Y116" s="11" t="s">
        <v>74</v>
      </c>
    </row>
    <row r="117" ht="15.0" customHeight="1">
      <c r="A117" s="15" t="s">
        <v>330</v>
      </c>
      <c r="B117" s="15" t="s">
        <v>472</v>
      </c>
      <c r="C117" s="15"/>
      <c r="D117" s="15" t="s">
        <v>261</v>
      </c>
      <c r="E117" s="15" t="s">
        <v>296</v>
      </c>
      <c r="F117" s="15" t="s">
        <v>297</v>
      </c>
      <c r="G117" s="15" t="s">
        <v>249</v>
      </c>
      <c r="H117" s="15" t="s">
        <v>473</v>
      </c>
      <c r="I117" s="15" t="s">
        <v>474</v>
      </c>
      <c r="J117" s="15"/>
      <c r="K117" s="15"/>
      <c r="L117" s="15" t="s">
        <v>44</v>
      </c>
      <c r="M117" s="15" t="str">
        <f>'WEDOF - EXAMEN FINAL'!D117</f>
        <v>A faire</v>
      </c>
      <c r="N117" s="15" t="s">
        <v>44</v>
      </c>
      <c r="O117" s="15" t="s">
        <v>44</v>
      </c>
      <c r="P117" s="15" t="s">
        <v>44</v>
      </c>
      <c r="Q117" s="15" t="s">
        <v>44</v>
      </c>
      <c r="R117" s="15" t="s">
        <v>44</v>
      </c>
      <c r="S117" s="15" t="s">
        <v>44</v>
      </c>
      <c r="T117" s="15" t="s">
        <v>44</v>
      </c>
      <c r="U117" s="15" t="str">
        <f t="shared" si="1"/>
        <v>Analyse du besoin, CV, Questionnaire/Test, Contrat, Convocation, Eval intermediaire, Eval finale, Questionnaire satisfaction, Document de fin</v>
      </c>
      <c r="V117" s="16">
        <f t="shared" si="2"/>
        <v>0</v>
      </c>
      <c r="W117" s="15" t="str">
        <f t="shared" si="3"/>
        <v>A RELANCER : Analyse du besoin, CV, Questionnaire/Test, Contrat, Convocation, Eval intermediaire, Eval finale, Questionnaire satisfaction, Document de fin</v>
      </c>
      <c r="X117" s="15" t="str">
        <f t="shared" si="4"/>
        <v/>
      </c>
      <c r="Y117" s="11" t="s">
        <v>74</v>
      </c>
    </row>
    <row r="118" ht="15.0" customHeight="1">
      <c r="A118" s="15" t="s">
        <v>330</v>
      </c>
      <c r="B118" s="15" t="s">
        <v>472</v>
      </c>
      <c r="C118" s="15"/>
      <c r="D118" s="15" t="s">
        <v>56</v>
      </c>
      <c r="E118" s="15" t="s">
        <v>299</v>
      </c>
      <c r="F118" s="15" t="s">
        <v>300</v>
      </c>
      <c r="G118" s="15" t="s">
        <v>249</v>
      </c>
      <c r="H118" s="15" t="s">
        <v>473</v>
      </c>
      <c r="I118" s="15" t="s">
        <v>474</v>
      </c>
      <c r="J118" s="15"/>
      <c r="K118" s="15"/>
      <c r="L118" s="15" t="s">
        <v>44</v>
      </c>
      <c r="M118" s="15" t="str">
        <f>'WEDOF - EXAMEN FINAL'!D118</f>
        <v>A faire</v>
      </c>
      <c r="N118" s="15" t="s">
        <v>44</v>
      </c>
      <c r="O118" s="15" t="s">
        <v>44</v>
      </c>
      <c r="P118" s="15" t="s">
        <v>44</v>
      </c>
      <c r="Q118" s="15" t="s">
        <v>44</v>
      </c>
      <c r="R118" s="15" t="s">
        <v>44</v>
      </c>
      <c r="S118" s="15" t="s">
        <v>44</v>
      </c>
      <c r="T118" s="15" t="s">
        <v>44</v>
      </c>
      <c r="U118" s="15" t="str">
        <f t="shared" si="1"/>
        <v>Analyse du besoin, CV, Questionnaire/Test, Contrat, Convocation, Eval intermediaire, Eval finale, Questionnaire satisfaction, Document de fin</v>
      </c>
      <c r="V118" s="16">
        <f t="shared" si="2"/>
        <v>0</v>
      </c>
      <c r="W118" s="15" t="str">
        <f t="shared" si="3"/>
        <v>A RELANCER : Analyse du besoin, CV, Questionnaire/Test, Contrat, Convocation, Eval intermediaire, Eval finale, Questionnaire satisfaction, Document de fin</v>
      </c>
      <c r="X118" s="15" t="str">
        <f t="shared" si="4"/>
        <v/>
      </c>
      <c r="Y118" s="11" t="s">
        <v>74</v>
      </c>
    </row>
    <row r="119" ht="15.0" customHeight="1">
      <c r="A119" s="15" t="s">
        <v>330</v>
      </c>
      <c r="B119" s="15" t="s">
        <v>478</v>
      </c>
      <c r="C119" s="15" t="s">
        <v>287</v>
      </c>
      <c r="D119" s="15" t="s">
        <v>268</v>
      </c>
      <c r="E119" s="15" t="s">
        <v>271</v>
      </c>
      <c r="F119" s="15" t="s">
        <v>272</v>
      </c>
      <c r="G119" s="15" t="s">
        <v>249</v>
      </c>
      <c r="H119" s="15" t="s">
        <v>479</v>
      </c>
      <c r="I119" s="15" t="s">
        <v>480</v>
      </c>
      <c r="J119" s="15" t="s">
        <v>481</v>
      </c>
      <c r="K119" s="15"/>
      <c r="L119" s="15" t="s">
        <v>44</v>
      </c>
      <c r="M119" s="15" t="str">
        <f>'WEDOF - EXAMEN FINAL'!D119</f>
        <v>A faire</v>
      </c>
      <c r="N119" s="15" t="s">
        <v>44</v>
      </c>
      <c r="O119" s="15" t="s">
        <v>44</v>
      </c>
      <c r="P119" s="15" t="s">
        <v>44</v>
      </c>
      <c r="Q119" s="15" t="s">
        <v>44</v>
      </c>
      <c r="R119" s="15" t="s">
        <v>44</v>
      </c>
      <c r="S119" s="15" t="s">
        <v>44</v>
      </c>
      <c r="T119" s="15" t="s">
        <v>44</v>
      </c>
      <c r="U119" s="15" t="str">
        <f t="shared" si="1"/>
        <v>Analyse du besoin, CV, Questionnaire/Test, Contrat, Convocation, Eval intermediaire, Eval finale, Questionnaire satisfaction, Document de fin</v>
      </c>
      <c r="V119" s="16">
        <f t="shared" si="2"/>
        <v>0</v>
      </c>
      <c r="W119" s="15" t="str">
        <f t="shared" si="3"/>
        <v>A RELANCER : Analyse du besoin, CV, Questionnaire/Test, Contrat, Convocation, Eval intermediaire, Eval finale, Questionnaire satisfaction, Document de fin</v>
      </c>
      <c r="X119" s="15" t="str">
        <f t="shared" si="4"/>
        <v/>
      </c>
      <c r="Y119" s="11" t="s">
        <v>74</v>
      </c>
    </row>
    <row r="120" ht="15.0" customHeight="1">
      <c r="A120" s="15" t="s">
        <v>330</v>
      </c>
      <c r="B120" s="15" t="s">
        <v>478</v>
      </c>
      <c r="C120" s="15" t="s">
        <v>287</v>
      </c>
      <c r="D120" s="15" t="s">
        <v>261</v>
      </c>
      <c r="E120" s="15" t="s">
        <v>296</v>
      </c>
      <c r="F120" s="15" t="s">
        <v>297</v>
      </c>
      <c r="G120" s="15" t="s">
        <v>249</v>
      </c>
      <c r="H120" s="15"/>
      <c r="I120" s="15"/>
      <c r="J120" s="15"/>
      <c r="K120" s="15"/>
      <c r="L120" s="15" t="s">
        <v>44</v>
      </c>
      <c r="M120" s="15" t="str">
        <f>'WEDOF - EXAMEN FINAL'!D120</f>
        <v>A faire</v>
      </c>
      <c r="N120" s="15" t="s">
        <v>44</v>
      </c>
      <c r="O120" s="15" t="s">
        <v>44</v>
      </c>
      <c r="P120" s="15" t="s">
        <v>44</v>
      </c>
      <c r="Q120" s="15" t="s">
        <v>44</v>
      </c>
      <c r="R120" s="15" t="s">
        <v>44</v>
      </c>
      <c r="S120" s="15" t="s">
        <v>44</v>
      </c>
      <c r="T120" s="15" t="s">
        <v>44</v>
      </c>
      <c r="U120" s="15" t="str">
        <f t="shared" si="1"/>
        <v>Analyse du besoin, CV, Questionnaire/Test, Contrat, Convocation, Eval intermediaire, Eval finale, Questionnaire satisfaction, Document de fin</v>
      </c>
      <c r="V120" s="16">
        <f t="shared" si="2"/>
        <v>0</v>
      </c>
      <c r="W120" s="15" t="str">
        <f t="shared" si="3"/>
        <v>A RELANCER : Analyse du besoin, CV, Questionnaire/Test, Contrat, Convocation, Eval intermediaire, Eval finale, Questionnaire satisfaction, Document de fin</v>
      </c>
      <c r="X120" s="15" t="str">
        <f t="shared" si="4"/>
        <v/>
      </c>
      <c r="Y120" s="11" t="s">
        <v>74</v>
      </c>
    </row>
    <row r="121" ht="15.0" customHeight="1">
      <c r="A121" s="15" t="s">
        <v>330</v>
      </c>
      <c r="B121" s="15" t="s">
        <v>478</v>
      </c>
      <c r="C121" s="15" t="s">
        <v>287</v>
      </c>
      <c r="D121" s="15" t="s">
        <v>56</v>
      </c>
      <c r="E121" s="15" t="s">
        <v>299</v>
      </c>
      <c r="F121" s="15" t="s">
        <v>300</v>
      </c>
      <c r="G121" s="15" t="s">
        <v>249</v>
      </c>
      <c r="H121" s="15"/>
      <c r="I121" s="15"/>
      <c r="J121" s="15"/>
      <c r="K121" s="15"/>
      <c r="L121" s="15" t="s">
        <v>44</v>
      </c>
      <c r="M121" s="15" t="str">
        <f>'WEDOF - EXAMEN FINAL'!D121</f>
        <v>A faire</v>
      </c>
      <c r="N121" s="15" t="s">
        <v>44</v>
      </c>
      <c r="O121" s="15" t="s">
        <v>44</v>
      </c>
      <c r="P121" s="15" t="s">
        <v>44</v>
      </c>
      <c r="Q121" s="15" t="s">
        <v>44</v>
      </c>
      <c r="R121" s="15" t="s">
        <v>44</v>
      </c>
      <c r="S121" s="15" t="s">
        <v>44</v>
      </c>
      <c r="T121" s="15" t="s">
        <v>44</v>
      </c>
      <c r="U121" s="15" t="str">
        <f t="shared" si="1"/>
        <v>Analyse du besoin, CV, Questionnaire/Test, Contrat, Convocation, Eval intermediaire, Eval finale, Questionnaire satisfaction, Document de fin</v>
      </c>
      <c r="V121" s="16">
        <f t="shared" si="2"/>
        <v>0</v>
      </c>
      <c r="W121" s="15" t="str">
        <f t="shared" si="3"/>
        <v>A RELANCER : Analyse du besoin, CV, Questionnaire/Test, Contrat, Convocation, Eval intermediaire, Eval finale, Questionnaire satisfaction, Document de fin</v>
      </c>
      <c r="X121" s="15" t="str">
        <f t="shared" si="4"/>
        <v/>
      </c>
      <c r="Y121" s="11" t="s">
        <v>74</v>
      </c>
    </row>
    <row r="122" ht="15.0" customHeight="1">
      <c r="A122" s="15" t="s">
        <v>330</v>
      </c>
      <c r="B122" s="15" t="s">
        <v>482</v>
      </c>
      <c r="C122" s="15" t="s">
        <v>287</v>
      </c>
      <c r="D122" s="15" t="s">
        <v>268</v>
      </c>
      <c r="E122" s="15" t="s">
        <v>271</v>
      </c>
      <c r="F122" s="15" t="s">
        <v>272</v>
      </c>
      <c r="G122" s="15" t="s">
        <v>249</v>
      </c>
      <c r="H122" s="15" t="s">
        <v>483</v>
      </c>
      <c r="I122" s="15" t="s">
        <v>484</v>
      </c>
      <c r="J122" s="15" t="s">
        <v>485</v>
      </c>
      <c r="K122" s="15"/>
      <c r="L122" s="15" t="s">
        <v>44</v>
      </c>
      <c r="M122" s="15" t="str">
        <f>'WEDOF - EXAMEN FINAL'!D122</f>
        <v>A faire</v>
      </c>
      <c r="N122" s="15" t="s">
        <v>44</v>
      </c>
      <c r="O122" s="15" t="s">
        <v>44</v>
      </c>
      <c r="P122" s="15" t="s">
        <v>44</v>
      </c>
      <c r="Q122" s="15" t="s">
        <v>44</v>
      </c>
      <c r="R122" s="15" t="s">
        <v>44</v>
      </c>
      <c r="S122" s="15" t="s">
        <v>44</v>
      </c>
      <c r="T122" s="15" t="s">
        <v>44</v>
      </c>
      <c r="U122" s="15" t="str">
        <f t="shared" si="1"/>
        <v>Analyse du besoin, CV, Questionnaire/Test, Contrat, Convocation, Eval intermediaire, Eval finale, Questionnaire satisfaction, Document de fin</v>
      </c>
      <c r="V122" s="16">
        <f t="shared" si="2"/>
        <v>0</v>
      </c>
      <c r="W122" s="15" t="str">
        <f t="shared" si="3"/>
        <v>A RELANCER : Analyse du besoin, CV, Questionnaire/Test, Contrat, Convocation, Eval intermediaire, Eval finale, Questionnaire satisfaction, Document de fin</v>
      </c>
      <c r="X122" s="15" t="str">
        <f t="shared" si="4"/>
        <v/>
      </c>
      <c r="Y122" s="11" t="s">
        <v>74</v>
      </c>
    </row>
    <row r="123" ht="15.0" customHeight="1">
      <c r="A123" s="15" t="s">
        <v>330</v>
      </c>
      <c r="B123" s="15" t="s">
        <v>482</v>
      </c>
      <c r="C123" s="15" t="s">
        <v>287</v>
      </c>
      <c r="D123" s="15" t="s">
        <v>261</v>
      </c>
      <c r="E123" s="15" t="s">
        <v>296</v>
      </c>
      <c r="F123" s="15" t="s">
        <v>297</v>
      </c>
      <c r="G123" s="15" t="s">
        <v>249</v>
      </c>
      <c r="H123" s="15" t="s">
        <v>483</v>
      </c>
      <c r="I123" s="15" t="s">
        <v>484</v>
      </c>
      <c r="J123" s="15"/>
      <c r="K123" s="15"/>
      <c r="L123" s="15" t="s">
        <v>44</v>
      </c>
      <c r="M123" s="15" t="str">
        <f>'WEDOF - EXAMEN FINAL'!D123</f>
        <v>A faire</v>
      </c>
      <c r="N123" s="15" t="s">
        <v>44</v>
      </c>
      <c r="O123" s="15" t="s">
        <v>44</v>
      </c>
      <c r="P123" s="15" t="s">
        <v>44</v>
      </c>
      <c r="Q123" s="15" t="s">
        <v>44</v>
      </c>
      <c r="R123" s="15" t="s">
        <v>44</v>
      </c>
      <c r="S123" s="15" t="s">
        <v>44</v>
      </c>
      <c r="T123" s="15" t="s">
        <v>44</v>
      </c>
      <c r="U123" s="15" t="str">
        <f t="shared" si="1"/>
        <v>Analyse du besoin, CV, Questionnaire/Test, Contrat, Convocation, Eval intermediaire, Eval finale, Questionnaire satisfaction, Document de fin</v>
      </c>
      <c r="V123" s="16">
        <f t="shared" si="2"/>
        <v>0</v>
      </c>
      <c r="W123" s="15" t="str">
        <f t="shared" si="3"/>
        <v>A RELANCER : Analyse du besoin, CV, Questionnaire/Test, Contrat, Convocation, Eval intermediaire, Eval finale, Questionnaire satisfaction, Document de fin</v>
      </c>
      <c r="X123" s="15" t="str">
        <f t="shared" si="4"/>
        <v/>
      </c>
      <c r="Y123" s="11" t="s">
        <v>74</v>
      </c>
    </row>
    <row r="124" ht="15.0" customHeight="1">
      <c r="A124" s="15" t="s">
        <v>330</v>
      </c>
      <c r="B124" s="15" t="s">
        <v>486</v>
      </c>
      <c r="C124" s="15" t="s">
        <v>457</v>
      </c>
      <c r="D124" s="15" t="s">
        <v>373</v>
      </c>
      <c r="E124" s="15" t="s">
        <v>271</v>
      </c>
      <c r="F124" s="15" t="s">
        <v>272</v>
      </c>
      <c r="G124" s="15" t="s">
        <v>249</v>
      </c>
      <c r="H124" s="15" t="s">
        <v>487</v>
      </c>
      <c r="I124" s="15" t="s">
        <v>488</v>
      </c>
      <c r="J124" s="15" t="s">
        <v>489</v>
      </c>
      <c r="K124" s="15"/>
      <c r="L124" s="15" t="s">
        <v>44</v>
      </c>
      <c r="M124" s="15" t="str">
        <f>'WEDOF - EXAMEN FINAL'!D124</f>
        <v>A faire</v>
      </c>
      <c r="N124" s="15" t="s">
        <v>44</v>
      </c>
      <c r="O124" s="15" t="s">
        <v>44</v>
      </c>
      <c r="P124" s="15" t="s">
        <v>44</v>
      </c>
      <c r="Q124" s="15" t="s">
        <v>44</v>
      </c>
      <c r="R124" s="15" t="s">
        <v>44</v>
      </c>
      <c r="S124" s="15" t="s">
        <v>44</v>
      </c>
      <c r="T124" s="15" t="s">
        <v>44</v>
      </c>
      <c r="U124" s="15" t="str">
        <f t="shared" si="1"/>
        <v>Analyse du besoin, CV, Questionnaire/Test, Contrat, Convocation, Eval intermediaire, Eval finale, Questionnaire satisfaction, Document de fin</v>
      </c>
      <c r="V124" s="16">
        <f t="shared" si="2"/>
        <v>0</v>
      </c>
      <c r="W124" s="15" t="str">
        <f t="shared" si="3"/>
        <v>A RELANCER : Analyse du besoin, CV, Questionnaire/Test, Contrat, Convocation, Eval intermediaire, Eval finale, Questionnaire satisfaction, Document de fin</v>
      </c>
      <c r="X124" s="15" t="str">
        <f t="shared" si="4"/>
        <v/>
      </c>
      <c r="Y124" s="11" t="s">
        <v>74</v>
      </c>
    </row>
    <row r="125" ht="15.0" customHeight="1">
      <c r="A125" s="15" t="s">
        <v>330</v>
      </c>
      <c r="B125" s="15" t="s">
        <v>490</v>
      </c>
      <c r="C125" s="15" t="s">
        <v>260</v>
      </c>
      <c r="D125" s="15" t="s">
        <v>373</v>
      </c>
      <c r="E125" s="15" t="s">
        <v>271</v>
      </c>
      <c r="F125" s="15" t="s">
        <v>272</v>
      </c>
      <c r="G125" s="15" t="s">
        <v>249</v>
      </c>
      <c r="H125" s="15" t="s">
        <v>491</v>
      </c>
      <c r="I125" s="15" t="s">
        <v>492</v>
      </c>
      <c r="J125" s="15" t="s">
        <v>493</v>
      </c>
      <c r="K125" s="15"/>
      <c r="L125" s="15" t="s">
        <v>44</v>
      </c>
      <c r="M125" s="15" t="str">
        <f>'WEDOF - EXAMEN FINAL'!D125</f>
        <v>A faire</v>
      </c>
      <c r="N125" s="15" t="s">
        <v>44</v>
      </c>
      <c r="O125" s="15" t="s">
        <v>44</v>
      </c>
      <c r="P125" s="15" t="s">
        <v>44</v>
      </c>
      <c r="Q125" s="15" t="s">
        <v>44</v>
      </c>
      <c r="R125" s="15" t="s">
        <v>44</v>
      </c>
      <c r="S125" s="15" t="s">
        <v>44</v>
      </c>
      <c r="T125" s="15" t="s">
        <v>44</v>
      </c>
      <c r="U125" s="15" t="str">
        <f t="shared" si="1"/>
        <v>Analyse du besoin, CV, Questionnaire/Test, Contrat, Convocation, Eval intermediaire, Eval finale, Questionnaire satisfaction, Document de fin</v>
      </c>
      <c r="V125" s="16">
        <f t="shared" si="2"/>
        <v>0</v>
      </c>
      <c r="W125" s="15" t="str">
        <f t="shared" si="3"/>
        <v>A RELANCER : Analyse du besoin, CV, Questionnaire/Test, Contrat, Convocation, Eval intermediaire, Eval finale, Questionnaire satisfaction, Document de fin</v>
      </c>
      <c r="X125" s="15" t="str">
        <f t="shared" si="4"/>
        <v/>
      </c>
      <c r="Y125" s="11" t="s">
        <v>74</v>
      </c>
    </row>
    <row r="126" ht="15.0" customHeight="1">
      <c r="A126" s="15" t="s">
        <v>330</v>
      </c>
      <c r="B126" s="15" t="s">
        <v>494</v>
      </c>
      <c r="C126" s="15" t="s">
        <v>130</v>
      </c>
      <c r="D126" s="15" t="s">
        <v>268</v>
      </c>
      <c r="E126" s="15" t="s">
        <v>271</v>
      </c>
      <c r="F126" s="15" t="s">
        <v>272</v>
      </c>
      <c r="G126" s="15" t="s">
        <v>249</v>
      </c>
      <c r="H126" s="15" t="s">
        <v>495</v>
      </c>
      <c r="I126" s="15" t="s">
        <v>496</v>
      </c>
      <c r="J126" s="15" t="s">
        <v>497</v>
      </c>
      <c r="K126" s="15"/>
      <c r="L126" s="15" t="s">
        <v>44</v>
      </c>
      <c r="M126" s="15" t="str">
        <f>'WEDOF - EXAMEN FINAL'!D126</f>
        <v>A faire</v>
      </c>
      <c r="N126" s="15" t="s">
        <v>44</v>
      </c>
      <c r="O126" s="15" t="s">
        <v>44</v>
      </c>
      <c r="P126" s="15" t="s">
        <v>44</v>
      </c>
      <c r="Q126" s="15" t="s">
        <v>44</v>
      </c>
      <c r="R126" s="15" t="s">
        <v>44</v>
      </c>
      <c r="S126" s="15" t="s">
        <v>44</v>
      </c>
      <c r="T126" s="15" t="s">
        <v>44</v>
      </c>
      <c r="U126" s="15" t="str">
        <f t="shared" si="1"/>
        <v>Analyse du besoin, CV, Questionnaire/Test, Contrat, Convocation, Eval intermediaire, Eval finale, Questionnaire satisfaction, Document de fin</v>
      </c>
      <c r="V126" s="16">
        <f t="shared" si="2"/>
        <v>0</v>
      </c>
      <c r="W126" s="15" t="str">
        <f t="shared" si="3"/>
        <v>A RELANCER : Analyse du besoin, CV, Questionnaire/Test, Contrat, Convocation, Eval intermediaire, Eval finale, Questionnaire satisfaction, Document de fin</v>
      </c>
      <c r="X126" s="15" t="str">
        <f t="shared" si="4"/>
        <v/>
      </c>
      <c r="Y126" s="11" t="s">
        <v>74</v>
      </c>
    </row>
    <row r="127" ht="15.0" customHeight="1">
      <c r="A127" s="15" t="s">
        <v>330</v>
      </c>
      <c r="B127" s="15" t="s">
        <v>494</v>
      </c>
      <c r="C127" s="15" t="s">
        <v>130</v>
      </c>
      <c r="D127" s="15" t="s">
        <v>261</v>
      </c>
      <c r="E127" s="15" t="s">
        <v>296</v>
      </c>
      <c r="F127" s="15" t="s">
        <v>297</v>
      </c>
      <c r="G127" s="15" t="s">
        <v>249</v>
      </c>
      <c r="H127" s="15"/>
      <c r="I127" s="15"/>
      <c r="J127" s="15"/>
      <c r="K127" s="15"/>
      <c r="L127" s="15" t="s">
        <v>44</v>
      </c>
      <c r="M127" s="15" t="str">
        <f>'WEDOF - EXAMEN FINAL'!D127</f>
        <v>A faire</v>
      </c>
      <c r="N127" s="15" t="s">
        <v>44</v>
      </c>
      <c r="O127" s="15" t="s">
        <v>44</v>
      </c>
      <c r="P127" s="15" t="s">
        <v>44</v>
      </c>
      <c r="Q127" s="15" t="s">
        <v>44</v>
      </c>
      <c r="R127" s="15" t="s">
        <v>44</v>
      </c>
      <c r="S127" s="15" t="s">
        <v>44</v>
      </c>
      <c r="T127" s="15" t="s">
        <v>44</v>
      </c>
      <c r="U127" s="15" t="str">
        <f t="shared" si="1"/>
        <v>Analyse du besoin, CV, Questionnaire/Test, Contrat, Convocation, Eval intermediaire, Eval finale, Questionnaire satisfaction, Document de fin</v>
      </c>
      <c r="V127" s="16">
        <f t="shared" si="2"/>
        <v>0</v>
      </c>
      <c r="W127" s="15" t="str">
        <f t="shared" si="3"/>
        <v>A RELANCER : Analyse du besoin, CV, Questionnaire/Test, Contrat, Convocation, Eval intermediaire, Eval finale, Questionnaire satisfaction, Document de fin</v>
      </c>
      <c r="X127" s="15" t="str">
        <f t="shared" si="4"/>
        <v/>
      </c>
      <c r="Y127" s="11" t="s">
        <v>74</v>
      </c>
    </row>
    <row r="128" ht="15.0" customHeight="1">
      <c r="A128" s="15" t="s">
        <v>330</v>
      </c>
      <c r="B128" s="15" t="s">
        <v>494</v>
      </c>
      <c r="C128" s="15" t="s">
        <v>130</v>
      </c>
      <c r="D128" s="15" t="s">
        <v>56</v>
      </c>
      <c r="E128" s="15" t="s">
        <v>299</v>
      </c>
      <c r="F128" s="15" t="s">
        <v>300</v>
      </c>
      <c r="G128" s="15" t="s">
        <v>249</v>
      </c>
      <c r="H128" s="15"/>
      <c r="I128" s="15"/>
      <c r="J128" s="15"/>
      <c r="K128" s="15"/>
      <c r="L128" s="15" t="s">
        <v>44</v>
      </c>
      <c r="M128" s="15" t="str">
        <f>'WEDOF - EXAMEN FINAL'!D128</f>
        <v>A faire</v>
      </c>
      <c r="N128" s="15" t="s">
        <v>44</v>
      </c>
      <c r="O128" s="15" t="s">
        <v>44</v>
      </c>
      <c r="P128" s="15" t="s">
        <v>44</v>
      </c>
      <c r="Q128" s="15" t="s">
        <v>44</v>
      </c>
      <c r="R128" s="15" t="s">
        <v>44</v>
      </c>
      <c r="S128" s="15" t="s">
        <v>44</v>
      </c>
      <c r="T128" s="15" t="s">
        <v>44</v>
      </c>
      <c r="U128" s="15" t="str">
        <f t="shared" si="1"/>
        <v>Analyse du besoin, CV, Questionnaire/Test, Contrat, Convocation, Eval intermediaire, Eval finale, Questionnaire satisfaction, Document de fin</v>
      </c>
      <c r="V128" s="16">
        <f t="shared" si="2"/>
        <v>0</v>
      </c>
      <c r="W128" s="15" t="str">
        <f t="shared" si="3"/>
        <v>A RELANCER : Analyse du besoin, CV, Questionnaire/Test, Contrat, Convocation, Eval intermediaire, Eval finale, Questionnaire satisfaction, Document de fin</v>
      </c>
      <c r="X128" s="15" t="str">
        <f t="shared" si="4"/>
        <v/>
      </c>
      <c r="Y128" s="11" t="s">
        <v>74</v>
      </c>
    </row>
    <row r="129" ht="15.0" customHeight="1">
      <c r="A129" s="15" t="s">
        <v>330</v>
      </c>
      <c r="B129" s="15" t="s">
        <v>498</v>
      </c>
      <c r="C129" s="15" t="s">
        <v>130</v>
      </c>
      <c r="D129" s="15" t="s">
        <v>268</v>
      </c>
      <c r="E129" s="15" t="s">
        <v>271</v>
      </c>
      <c r="F129" s="15" t="s">
        <v>272</v>
      </c>
      <c r="G129" s="15" t="s">
        <v>249</v>
      </c>
      <c r="H129" s="15" t="s">
        <v>499</v>
      </c>
      <c r="I129" s="15" t="s">
        <v>500</v>
      </c>
      <c r="J129" s="15" t="s">
        <v>501</v>
      </c>
      <c r="K129" s="15"/>
      <c r="L129" s="15" t="s">
        <v>44</v>
      </c>
      <c r="M129" s="15" t="str">
        <f>'WEDOF - EXAMEN FINAL'!D129</f>
        <v>A faire</v>
      </c>
      <c r="N129" s="15" t="s">
        <v>44</v>
      </c>
      <c r="O129" s="15" t="s">
        <v>44</v>
      </c>
      <c r="P129" s="15" t="s">
        <v>44</v>
      </c>
      <c r="Q129" s="15" t="s">
        <v>44</v>
      </c>
      <c r="R129" s="15" t="s">
        <v>44</v>
      </c>
      <c r="S129" s="15" t="s">
        <v>44</v>
      </c>
      <c r="T129" s="15" t="s">
        <v>44</v>
      </c>
      <c r="U129" s="15" t="str">
        <f t="shared" si="1"/>
        <v>Analyse du besoin, CV, Questionnaire/Test, Contrat, Convocation, Eval intermediaire, Eval finale, Questionnaire satisfaction, Document de fin</v>
      </c>
      <c r="V129" s="16">
        <f t="shared" si="2"/>
        <v>0</v>
      </c>
      <c r="W129" s="15" t="str">
        <f t="shared" si="3"/>
        <v>A RELANCER : Analyse du besoin, CV, Questionnaire/Test, Contrat, Convocation, Eval intermediaire, Eval finale, Questionnaire satisfaction, Document de fin</v>
      </c>
      <c r="X129" s="15" t="str">
        <f t="shared" si="4"/>
        <v/>
      </c>
      <c r="Y129" s="11" t="s">
        <v>74</v>
      </c>
    </row>
    <row r="130" ht="15.0" customHeight="1">
      <c r="A130" s="15" t="s">
        <v>330</v>
      </c>
      <c r="B130" s="15" t="s">
        <v>498</v>
      </c>
      <c r="C130" s="15" t="s">
        <v>130</v>
      </c>
      <c r="D130" s="15" t="s">
        <v>56</v>
      </c>
      <c r="E130" s="15" t="s">
        <v>299</v>
      </c>
      <c r="F130" s="15" t="s">
        <v>300</v>
      </c>
      <c r="G130" s="15" t="s">
        <v>249</v>
      </c>
      <c r="H130" s="15"/>
      <c r="I130" s="15"/>
      <c r="J130" s="15"/>
      <c r="K130" s="15"/>
      <c r="L130" s="15" t="s">
        <v>44</v>
      </c>
      <c r="M130" s="15" t="str">
        <f>'WEDOF - EXAMEN FINAL'!D130</f>
        <v>A faire</v>
      </c>
      <c r="N130" s="15" t="s">
        <v>44</v>
      </c>
      <c r="O130" s="15" t="s">
        <v>44</v>
      </c>
      <c r="P130" s="15" t="s">
        <v>44</v>
      </c>
      <c r="Q130" s="15" t="s">
        <v>44</v>
      </c>
      <c r="R130" s="15" t="s">
        <v>44</v>
      </c>
      <c r="S130" s="15" t="s">
        <v>44</v>
      </c>
      <c r="T130" s="15" t="s">
        <v>44</v>
      </c>
      <c r="U130" s="15" t="str">
        <f t="shared" si="1"/>
        <v>Analyse du besoin, CV, Questionnaire/Test, Contrat, Convocation, Eval intermediaire, Eval finale, Questionnaire satisfaction, Document de fin</v>
      </c>
      <c r="V130" s="16">
        <f t="shared" si="2"/>
        <v>0</v>
      </c>
      <c r="W130" s="15" t="str">
        <f t="shared" si="3"/>
        <v>A RELANCER : Analyse du besoin, CV, Questionnaire/Test, Contrat, Convocation, Eval intermediaire, Eval finale, Questionnaire satisfaction, Document de fin</v>
      </c>
      <c r="X130" s="15" t="str">
        <f t="shared" si="4"/>
        <v/>
      </c>
      <c r="Y130" s="11" t="s">
        <v>74</v>
      </c>
    </row>
    <row r="131" ht="15.0" customHeight="1">
      <c r="A131" s="15" t="s">
        <v>330</v>
      </c>
      <c r="B131" s="15" t="s">
        <v>502</v>
      </c>
      <c r="C131" s="15" t="s">
        <v>55</v>
      </c>
      <c r="D131" s="15" t="s">
        <v>373</v>
      </c>
      <c r="E131" s="15" t="s">
        <v>271</v>
      </c>
      <c r="F131" s="15" t="s">
        <v>272</v>
      </c>
      <c r="G131" s="15" t="s">
        <v>249</v>
      </c>
      <c r="H131" s="15" t="s">
        <v>503</v>
      </c>
      <c r="I131" s="15" t="s">
        <v>504</v>
      </c>
      <c r="J131" s="15" t="s">
        <v>505</v>
      </c>
      <c r="K131" s="15"/>
      <c r="L131" s="15" t="s">
        <v>44</v>
      </c>
      <c r="M131" s="15" t="str">
        <f>'WEDOF - EXAMEN FINAL'!D131</f>
        <v>A faire</v>
      </c>
      <c r="N131" s="15" t="s">
        <v>44</v>
      </c>
      <c r="O131" s="15" t="s">
        <v>44</v>
      </c>
      <c r="P131" s="15" t="s">
        <v>44</v>
      </c>
      <c r="Q131" s="15" t="s">
        <v>44</v>
      </c>
      <c r="R131" s="15" t="s">
        <v>44</v>
      </c>
      <c r="S131" s="15" t="s">
        <v>44</v>
      </c>
      <c r="T131" s="15" t="s">
        <v>44</v>
      </c>
      <c r="U131" s="15" t="str">
        <f t="shared" si="1"/>
        <v>Analyse du besoin, CV, Questionnaire/Test, Contrat, Convocation, Eval intermediaire, Eval finale, Questionnaire satisfaction, Document de fin</v>
      </c>
      <c r="V131" s="16">
        <f t="shared" si="2"/>
        <v>0</v>
      </c>
      <c r="W131" s="15" t="str">
        <f t="shared" si="3"/>
        <v>A RELANCER : Analyse du besoin, CV, Questionnaire/Test, Contrat, Convocation, Eval intermediaire, Eval finale, Questionnaire satisfaction, Document de fin</v>
      </c>
      <c r="X131" s="15" t="str">
        <f t="shared" si="4"/>
        <v/>
      </c>
      <c r="Y131" s="11" t="s">
        <v>74</v>
      </c>
    </row>
    <row r="132" ht="15.0" customHeight="1">
      <c r="A132" s="15" t="s">
        <v>330</v>
      </c>
      <c r="B132" s="15" t="s">
        <v>506</v>
      </c>
      <c r="C132" s="15" t="s">
        <v>55</v>
      </c>
      <c r="D132" s="15" t="s">
        <v>399</v>
      </c>
      <c r="E132" s="15" t="s">
        <v>302</v>
      </c>
      <c r="F132" s="15" t="s">
        <v>303</v>
      </c>
      <c r="G132" s="15" t="s">
        <v>249</v>
      </c>
      <c r="H132" s="15" t="s">
        <v>507</v>
      </c>
      <c r="I132" s="15" t="s">
        <v>508</v>
      </c>
      <c r="J132" s="15" t="s">
        <v>509</v>
      </c>
      <c r="K132" s="15"/>
      <c r="L132" s="15" t="s">
        <v>44</v>
      </c>
      <c r="M132" s="15" t="str">
        <f>'WEDOF - EXAMEN FINAL'!D132</f>
        <v>A faire</v>
      </c>
      <c r="N132" s="15" t="s">
        <v>44</v>
      </c>
      <c r="O132" s="15" t="s">
        <v>44</v>
      </c>
      <c r="P132" s="15" t="s">
        <v>44</v>
      </c>
      <c r="Q132" s="15" t="s">
        <v>44</v>
      </c>
      <c r="R132" s="15" t="s">
        <v>44</v>
      </c>
      <c r="S132" s="15" t="s">
        <v>44</v>
      </c>
      <c r="T132" s="15" t="s">
        <v>44</v>
      </c>
      <c r="U132" s="15" t="str">
        <f t="shared" si="1"/>
        <v>Analyse du besoin, CV, Questionnaire/Test, Contrat, Convocation, Eval intermediaire, Eval finale, Questionnaire satisfaction, Document de fin</v>
      </c>
      <c r="V132" s="16">
        <f t="shared" si="2"/>
        <v>0</v>
      </c>
      <c r="W132" s="15" t="str">
        <f t="shared" si="3"/>
        <v/>
      </c>
      <c r="X132" s="15" t="str">
        <f t="shared" si="4"/>
        <v/>
      </c>
      <c r="Y132" s="11" t="s">
        <v>74</v>
      </c>
    </row>
    <row r="133" ht="15.0" customHeight="1">
      <c r="A133" s="15" t="s">
        <v>330</v>
      </c>
      <c r="B133" s="15" t="s">
        <v>510</v>
      </c>
      <c r="C133" s="15" t="s">
        <v>130</v>
      </c>
      <c r="D133" s="15" t="s">
        <v>261</v>
      </c>
      <c r="E133" s="15" t="s">
        <v>310</v>
      </c>
      <c r="F133" s="15" t="s">
        <v>311</v>
      </c>
      <c r="G133" s="15" t="s">
        <v>249</v>
      </c>
      <c r="H133" s="15" t="s">
        <v>511</v>
      </c>
      <c r="I133" s="15" t="s">
        <v>512</v>
      </c>
      <c r="J133" s="15" t="s">
        <v>513</v>
      </c>
      <c r="K133" s="15"/>
      <c r="L133" s="15" t="s">
        <v>44</v>
      </c>
      <c r="M133" s="15" t="str">
        <f>'WEDOF - EXAMEN FINAL'!D133</f>
        <v>A faire</v>
      </c>
      <c r="N133" s="15" t="s">
        <v>44</v>
      </c>
      <c r="O133" s="15" t="s">
        <v>44</v>
      </c>
      <c r="P133" s="15" t="s">
        <v>44</v>
      </c>
      <c r="Q133" s="15" t="s">
        <v>44</v>
      </c>
      <c r="R133" s="15" t="s">
        <v>44</v>
      </c>
      <c r="S133" s="15" t="s">
        <v>44</v>
      </c>
      <c r="T133" s="15" t="s">
        <v>44</v>
      </c>
      <c r="U133" s="15" t="str">
        <f t="shared" si="1"/>
        <v>Analyse du besoin, CV, Questionnaire/Test, Contrat, Convocation, Eval intermediaire, Eval finale, Questionnaire satisfaction, Document de fin</v>
      </c>
      <c r="V133" s="16">
        <f t="shared" si="2"/>
        <v>0</v>
      </c>
      <c r="W133" s="15" t="str">
        <f t="shared" si="3"/>
        <v/>
      </c>
      <c r="X133" s="15" t="str">
        <f t="shared" si="4"/>
        <v/>
      </c>
      <c r="Y133" s="11" t="s">
        <v>74</v>
      </c>
    </row>
    <row r="134" ht="15.0" customHeight="1">
      <c r="A134" s="15" t="s">
        <v>330</v>
      </c>
      <c r="B134" s="15" t="s">
        <v>510</v>
      </c>
      <c r="C134" s="15" t="s">
        <v>130</v>
      </c>
      <c r="D134" s="15" t="s">
        <v>268</v>
      </c>
      <c r="E134" s="15" t="s">
        <v>321</v>
      </c>
      <c r="F134" s="15" t="s">
        <v>322</v>
      </c>
      <c r="G134" s="15" t="s">
        <v>249</v>
      </c>
      <c r="H134" s="15" t="s">
        <v>511</v>
      </c>
      <c r="I134" s="15"/>
      <c r="J134" s="15"/>
      <c r="K134" s="15"/>
      <c r="L134" s="15" t="s">
        <v>44</v>
      </c>
      <c r="M134" s="15" t="str">
        <f>'WEDOF - EXAMEN FINAL'!D134</f>
        <v>A faire</v>
      </c>
      <c r="N134" s="15" t="s">
        <v>44</v>
      </c>
      <c r="O134" s="15" t="s">
        <v>44</v>
      </c>
      <c r="P134" s="15" t="s">
        <v>44</v>
      </c>
      <c r="Q134" s="15" t="s">
        <v>44</v>
      </c>
      <c r="R134" s="15" t="s">
        <v>44</v>
      </c>
      <c r="S134" s="15" t="s">
        <v>44</v>
      </c>
      <c r="T134" s="15" t="s">
        <v>44</v>
      </c>
      <c r="U134" s="15" t="str">
        <f t="shared" si="1"/>
        <v>Analyse du besoin, CV, Questionnaire/Test, Contrat, Convocation, Eval intermediaire, Eval finale, Questionnaire satisfaction, Document de fin</v>
      </c>
      <c r="V134" s="16">
        <f t="shared" si="2"/>
        <v>0</v>
      </c>
      <c r="W134" s="15" t="str">
        <f t="shared" si="3"/>
        <v/>
      </c>
      <c r="X134" s="15" t="str">
        <f t="shared" si="4"/>
        <v/>
      </c>
      <c r="Y134" s="11" t="s">
        <v>74</v>
      </c>
    </row>
    <row r="135" ht="15.0" customHeight="1">
      <c r="A135" s="15" t="s">
        <v>330</v>
      </c>
      <c r="B135" s="15" t="s">
        <v>514</v>
      </c>
      <c r="C135" s="15" t="s">
        <v>130</v>
      </c>
      <c r="D135" s="15" t="s">
        <v>261</v>
      </c>
      <c r="E135" s="15" t="s">
        <v>310</v>
      </c>
      <c r="F135" s="15" t="s">
        <v>311</v>
      </c>
      <c r="G135" s="15" t="s">
        <v>249</v>
      </c>
      <c r="H135" s="15" t="s">
        <v>447</v>
      </c>
      <c r="I135" s="15" t="s">
        <v>448</v>
      </c>
      <c r="J135" s="15" t="s">
        <v>449</v>
      </c>
      <c r="K135" s="15"/>
      <c r="L135" s="15" t="s">
        <v>44</v>
      </c>
      <c r="M135" s="15" t="str">
        <f>'WEDOF - EXAMEN FINAL'!D135</f>
        <v>A faire</v>
      </c>
      <c r="N135" s="15" t="s">
        <v>44</v>
      </c>
      <c r="O135" s="15" t="s">
        <v>44</v>
      </c>
      <c r="P135" s="15" t="s">
        <v>44</v>
      </c>
      <c r="Q135" s="15" t="s">
        <v>44</v>
      </c>
      <c r="R135" s="15" t="s">
        <v>44</v>
      </c>
      <c r="S135" s="15" t="s">
        <v>44</v>
      </c>
      <c r="T135" s="15" t="s">
        <v>44</v>
      </c>
      <c r="U135" s="15" t="str">
        <f t="shared" si="1"/>
        <v>Analyse du besoin, CV, Questionnaire/Test, Contrat, Convocation, Eval intermediaire, Eval finale, Questionnaire satisfaction, Document de fin</v>
      </c>
      <c r="V135" s="16">
        <f t="shared" si="2"/>
        <v>0</v>
      </c>
      <c r="W135" s="15" t="str">
        <f t="shared" si="3"/>
        <v/>
      </c>
      <c r="X135" s="15" t="str">
        <f t="shared" si="4"/>
        <v/>
      </c>
      <c r="Y135" s="11" t="s">
        <v>74</v>
      </c>
    </row>
    <row r="136" ht="15.0" customHeight="1">
      <c r="A136" s="15" t="s">
        <v>330</v>
      </c>
      <c r="B136" s="15" t="s">
        <v>514</v>
      </c>
      <c r="C136" s="15" t="s">
        <v>130</v>
      </c>
      <c r="D136" s="15" t="s">
        <v>268</v>
      </c>
      <c r="E136" s="15" t="s">
        <v>321</v>
      </c>
      <c r="F136" s="15" t="s">
        <v>322</v>
      </c>
      <c r="G136" s="15" t="s">
        <v>249</v>
      </c>
      <c r="H136" s="15" t="s">
        <v>447</v>
      </c>
      <c r="I136" s="15"/>
      <c r="J136" s="15"/>
      <c r="K136" s="15"/>
      <c r="L136" s="15" t="s">
        <v>44</v>
      </c>
      <c r="M136" s="15" t="str">
        <f>'WEDOF - EXAMEN FINAL'!D136</f>
        <v>A faire</v>
      </c>
      <c r="N136" s="15" t="s">
        <v>44</v>
      </c>
      <c r="O136" s="15" t="s">
        <v>44</v>
      </c>
      <c r="P136" s="15" t="s">
        <v>44</v>
      </c>
      <c r="Q136" s="15" t="s">
        <v>44</v>
      </c>
      <c r="R136" s="15" t="s">
        <v>44</v>
      </c>
      <c r="S136" s="15" t="s">
        <v>44</v>
      </c>
      <c r="T136" s="15" t="s">
        <v>44</v>
      </c>
      <c r="U136" s="15" t="str">
        <f t="shared" si="1"/>
        <v>Analyse du besoin, CV, Questionnaire/Test, Contrat, Convocation, Eval intermediaire, Eval finale, Questionnaire satisfaction, Document de fin</v>
      </c>
      <c r="V136" s="16">
        <f t="shared" si="2"/>
        <v>0</v>
      </c>
      <c r="W136" s="15" t="str">
        <f t="shared" si="3"/>
        <v/>
      </c>
      <c r="X136" s="15" t="str">
        <f t="shared" si="4"/>
        <v/>
      </c>
      <c r="Y136" s="11" t="s">
        <v>74</v>
      </c>
    </row>
    <row r="137" ht="15.0" customHeight="1">
      <c r="A137" s="15" t="s">
        <v>330</v>
      </c>
      <c r="B137" s="15" t="s">
        <v>515</v>
      </c>
      <c r="C137" s="15" t="s">
        <v>55</v>
      </c>
      <c r="D137" s="15" t="s">
        <v>516</v>
      </c>
      <c r="E137" s="15"/>
      <c r="F137" s="15"/>
      <c r="G137" s="15" t="s">
        <v>261</v>
      </c>
      <c r="H137" s="15" t="s">
        <v>320</v>
      </c>
      <c r="I137" s="15" t="s">
        <v>517</v>
      </c>
      <c r="J137" s="15"/>
      <c r="K137" s="15"/>
      <c r="L137" s="15" t="s">
        <v>44</v>
      </c>
      <c r="M137" s="15" t="str">
        <f>'WEDOF - EXAMEN FINAL'!D137</f>
        <v>A faire</v>
      </c>
      <c r="N137" s="15" t="s">
        <v>44</v>
      </c>
      <c r="O137" s="15" t="s">
        <v>44</v>
      </c>
      <c r="P137" s="15" t="s">
        <v>44</v>
      </c>
      <c r="Q137" s="15" t="s">
        <v>44</v>
      </c>
      <c r="R137" s="15" t="s">
        <v>44</v>
      </c>
      <c r="S137" s="15" t="s">
        <v>44</v>
      </c>
      <c r="T137" s="15" t="s">
        <v>44</v>
      </c>
      <c r="U137" s="15" t="str">
        <f t="shared" si="1"/>
        <v>Analyse du besoin, CV, Questionnaire/Test, Contrat, Convocation, Eval intermediaire, Eval finale, Questionnaire satisfaction, Document de fin</v>
      </c>
      <c r="V137" s="16">
        <f t="shared" si="2"/>
        <v>0</v>
      </c>
      <c r="W137" s="15" t="str">
        <f t="shared" si="3"/>
        <v/>
      </c>
      <c r="X137" s="15" t="str">
        <f t="shared" si="4"/>
        <v/>
      </c>
      <c r="Y137" s="11" t="s">
        <v>74</v>
      </c>
    </row>
    <row r="138" ht="15.0" customHeight="1">
      <c r="A138" s="15" t="s">
        <v>330</v>
      </c>
      <c r="B138" s="15" t="s">
        <v>515</v>
      </c>
      <c r="C138" s="15" t="s">
        <v>55</v>
      </c>
      <c r="D138" s="15" t="s">
        <v>516</v>
      </c>
      <c r="E138" s="15"/>
      <c r="F138" s="15"/>
      <c r="G138" s="15" t="s">
        <v>268</v>
      </c>
      <c r="H138" s="15" t="s">
        <v>320</v>
      </c>
      <c r="I138" s="15"/>
      <c r="J138" s="15"/>
      <c r="K138" s="15"/>
      <c r="L138" s="15" t="s">
        <v>44</v>
      </c>
      <c r="M138" s="15" t="str">
        <f>'WEDOF - EXAMEN FINAL'!D138</f>
        <v>A faire</v>
      </c>
      <c r="N138" s="15" t="s">
        <v>44</v>
      </c>
      <c r="O138" s="15" t="s">
        <v>44</v>
      </c>
      <c r="P138" s="15" t="s">
        <v>44</v>
      </c>
      <c r="Q138" s="15" t="s">
        <v>44</v>
      </c>
      <c r="R138" s="15" t="s">
        <v>44</v>
      </c>
      <c r="S138" s="15" t="s">
        <v>44</v>
      </c>
      <c r="T138" s="15" t="s">
        <v>44</v>
      </c>
      <c r="U138" s="15" t="str">
        <f t="shared" si="1"/>
        <v>Analyse du besoin, CV, Questionnaire/Test, Contrat, Convocation, Eval intermediaire, Eval finale, Questionnaire satisfaction, Document de fin</v>
      </c>
      <c r="V138" s="16">
        <f t="shared" si="2"/>
        <v>0</v>
      </c>
      <c r="W138" s="15" t="str">
        <f t="shared" si="3"/>
        <v/>
      </c>
      <c r="X138" s="15" t="str">
        <f t="shared" si="4"/>
        <v/>
      </c>
      <c r="Y138" s="11" t="s">
        <v>74</v>
      </c>
    </row>
    <row r="139" ht="15.0" customHeight="1">
      <c r="A139" s="15" t="s">
        <v>330</v>
      </c>
      <c r="B139" s="15" t="s">
        <v>515</v>
      </c>
      <c r="C139" s="15" t="s">
        <v>55</v>
      </c>
      <c r="D139" s="15" t="s">
        <v>516</v>
      </c>
      <c r="E139" s="15"/>
      <c r="F139" s="15"/>
      <c r="G139" s="15" t="s">
        <v>56</v>
      </c>
      <c r="H139" s="15" t="s">
        <v>320</v>
      </c>
      <c r="I139" s="15"/>
      <c r="J139" s="15"/>
      <c r="K139" s="15"/>
      <c r="L139" s="15" t="s">
        <v>44</v>
      </c>
      <c r="M139" s="15" t="str">
        <f>'WEDOF - EXAMEN FINAL'!D139</f>
        <v>A faire</v>
      </c>
      <c r="N139" s="15" t="s">
        <v>44</v>
      </c>
      <c r="O139" s="15" t="s">
        <v>44</v>
      </c>
      <c r="P139" s="15" t="s">
        <v>44</v>
      </c>
      <c r="Q139" s="15" t="s">
        <v>44</v>
      </c>
      <c r="R139" s="15" t="s">
        <v>44</v>
      </c>
      <c r="S139" s="15" t="s">
        <v>44</v>
      </c>
      <c r="T139" s="15" t="s">
        <v>44</v>
      </c>
      <c r="U139" s="15" t="str">
        <f t="shared" si="1"/>
        <v>Analyse du besoin, CV, Questionnaire/Test, Contrat, Convocation, Eval intermediaire, Eval finale, Questionnaire satisfaction, Document de fin</v>
      </c>
      <c r="V139" s="16">
        <f t="shared" si="2"/>
        <v>0</v>
      </c>
      <c r="W139" s="15" t="str">
        <f t="shared" si="3"/>
        <v/>
      </c>
      <c r="X139" s="15" t="str">
        <f t="shared" si="4"/>
        <v/>
      </c>
      <c r="Y139" s="11" t="s">
        <v>74</v>
      </c>
    </row>
    <row r="140" ht="15.0" customHeight="1">
      <c r="A140" s="15" t="s">
        <v>330</v>
      </c>
      <c r="B140" s="15" t="s">
        <v>518</v>
      </c>
      <c r="C140" s="15" t="s">
        <v>130</v>
      </c>
      <c r="D140" s="15" t="s">
        <v>519</v>
      </c>
      <c r="E140" s="15"/>
      <c r="F140" s="15"/>
      <c r="G140" s="15" t="s">
        <v>261</v>
      </c>
      <c r="H140" s="15" t="s">
        <v>320</v>
      </c>
      <c r="I140" s="15" t="s">
        <v>520</v>
      </c>
      <c r="J140" s="15"/>
      <c r="K140" s="15"/>
      <c r="L140" s="15" t="s">
        <v>44</v>
      </c>
      <c r="M140" s="15" t="str">
        <f>'WEDOF - EXAMEN FINAL'!D140</f>
        <v>A faire</v>
      </c>
      <c r="N140" s="15" t="s">
        <v>44</v>
      </c>
      <c r="O140" s="15" t="s">
        <v>44</v>
      </c>
      <c r="P140" s="15" t="s">
        <v>44</v>
      </c>
      <c r="Q140" s="15" t="s">
        <v>44</v>
      </c>
      <c r="R140" s="15" t="s">
        <v>44</v>
      </c>
      <c r="S140" s="15" t="s">
        <v>44</v>
      </c>
      <c r="T140" s="15" t="s">
        <v>44</v>
      </c>
      <c r="U140" s="15" t="str">
        <f t="shared" si="1"/>
        <v>Analyse du besoin, CV, Questionnaire/Test, Contrat, Convocation, Eval intermediaire, Eval finale, Questionnaire satisfaction, Document de fin</v>
      </c>
      <c r="V140" s="16">
        <f t="shared" si="2"/>
        <v>0</v>
      </c>
      <c r="W140" s="15" t="str">
        <f t="shared" si="3"/>
        <v/>
      </c>
      <c r="X140" s="15" t="str">
        <f t="shared" si="4"/>
        <v/>
      </c>
      <c r="Y140" s="11" t="s">
        <v>74</v>
      </c>
    </row>
    <row r="141" ht="15.0" customHeight="1">
      <c r="A141" s="15" t="s">
        <v>330</v>
      </c>
      <c r="B141" s="15" t="s">
        <v>521</v>
      </c>
      <c r="C141" s="15" t="s">
        <v>130</v>
      </c>
      <c r="D141" s="15" t="s">
        <v>261</v>
      </c>
      <c r="E141" s="15" t="s">
        <v>310</v>
      </c>
      <c r="F141" s="15" t="s">
        <v>311</v>
      </c>
      <c r="G141" s="15" t="s">
        <v>249</v>
      </c>
      <c r="H141" s="15" t="s">
        <v>522</v>
      </c>
      <c r="I141" s="15" t="s">
        <v>523</v>
      </c>
      <c r="J141" s="15" t="s">
        <v>524</v>
      </c>
      <c r="K141" s="15"/>
      <c r="L141" s="15" t="s">
        <v>44</v>
      </c>
      <c r="M141" s="15" t="str">
        <f>'WEDOF - EXAMEN FINAL'!D141</f>
        <v>A faire</v>
      </c>
      <c r="N141" s="15" t="s">
        <v>44</v>
      </c>
      <c r="O141" s="15" t="s">
        <v>44</v>
      </c>
      <c r="P141" s="15" t="s">
        <v>44</v>
      </c>
      <c r="Q141" s="15" t="s">
        <v>44</v>
      </c>
      <c r="R141" s="15" t="s">
        <v>44</v>
      </c>
      <c r="S141" s="15" t="s">
        <v>44</v>
      </c>
      <c r="T141" s="15" t="s">
        <v>44</v>
      </c>
      <c r="U141" s="15" t="str">
        <f t="shared" si="1"/>
        <v>Analyse du besoin, CV, Questionnaire/Test, Contrat, Convocation, Eval intermediaire, Eval finale, Questionnaire satisfaction, Document de fin</v>
      </c>
      <c r="V141" s="16">
        <f t="shared" si="2"/>
        <v>0</v>
      </c>
      <c r="W141" s="15" t="str">
        <f t="shared" si="3"/>
        <v/>
      </c>
      <c r="X141" s="15" t="str">
        <f t="shared" si="4"/>
        <v/>
      </c>
      <c r="Y141" s="11" t="s">
        <v>74</v>
      </c>
    </row>
    <row r="142" ht="15.0" customHeight="1">
      <c r="A142" s="15" t="s">
        <v>330</v>
      </c>
      <c r="B142" s="15" t="s">
        <v>521</v>
      </c>
      <c r="C142" s="15" t="s">
        <v>130</v>
      </c>
      <c r="D142" s="15" t="s">
        <v>268</v>
      </c>
      <c r="E142" s="15" t="s">
        <v>321</v>
      </c>
      <c r="F142" s="15" t="s">
        <v>322</v>
      </c>
      <c r="G142" s="15" t="s">
        <v>249</v>
      </c>
      <c r="H142" s="15"/>
      <c r="I142" s="15"/>
      <c r="J142" s="15"/>
      <c r="K142" s="15"/>
      <c r="L142" s="15" t="s">
        <v>44</v>
      </c>
      <c r="M142" s="15" t="str">
        <f>'WEDOF - EXAMEN FINAL'!D142</f>
        <v>A faire</v>
      </c>
      <c r="N142" s="15" t="s">
        <v>44</v>
      </c>
      <c r="O142" s="15" t="s">
        <v>44</v>
      </c>
      <c r="P142" s="15" t="s">
        <v>44</v>
      </c>
      <c r="Q142" s="15" t="s">
        <v>44</v>
      </c>
      <c r="R142" s="15" t="s">
        <v>44</v>
      </c>
      <c r="S142" s="15" t="s">
        <v>44</v>
      </c>
      <c r="T142" s="15" t="s">
        <v>44</v>
      </c>
      <c r="U142" s="15" t="str">
        <f t="shared" si="1"/>
        <v>Analyse du besoin, CV, Questionnaire/Test, Contrat, Convocation, Eval intermediaire, Eval finale, Questionnaire satisfaction, Document de fin</v>
      </c>
      <c r="V142" s="16">
        <f t="shared" si="2"/>
        <v>0</v>
      </c>
      <c r="W142" s="15" t="str">
        <f t="shared" si="3"/>
        <v/>
      </c>
      <c r="X142" s="15" t="str">
        <f t="shared" si="4"/>
        <v/>
      </c>
      <c r="Y142" s="11" t="s">
        <v>74</v>
      </c>
    </row>
    <row r="143" ht="15.0" customHeight="1">
      <c r="A143" s="15" t="s">
        <v>330</v>
      </c>
      <c r="B143" s="15" t="s">
        <v>521</v>
      </c>
      <c r="C143" s="15" t="s">
        <v>130</v>
      </c>
      <c r="D143" s="15" t="s">
        <v>56</v>
      </c>
      <c r="E143" s="15" t="s">
        <v>324</v>
      </c>
      <c r="F143" s="15" t="s">
        <v>325</v>
      </c>
      <c r="G143" s="15" t="s">
        <v>249</v>
      </c>
      <c r="H143" s="15"/>
      <c r="I143" s="15"/>
      <c r="J143" s="15"/>
      <c r="K143" s="15"/>
      <c r="L143" s="15" t="s">
        <v>44</v>
      </c>
      <c r="M143" s="15" t="str">
        <f>'WEDOF - EXAMEN FINAL'!D143</f>
        <v>A faire</v>
      </c>
      <c r="N143" s="15" t="s">
        <v>44</v>
      </c>
      <c r="O143" s="15" t="s">
        <v>44</v>
      </c>
      <c r="P143" s="15" t="s">
        <v>44</v>
      </c>
      <c r="Q143" s="15" t="s">
        <v>44</v>
      </c>
      <c r="R143" s="15" t="s">
        <v>44</v>
      </c>
      <c r="S143" s="15" t="s">
        <v>44</v>
      </c>
      <c r="T143" s="15" t="s">
        <v>44</v>
      </c>
      <c r="U143" s="15" t="str">
        <f t="shared" si="1"/>
        <v>Analyse du besoin, CV, Questionnaire/Test, Contrat, Convocation, Eval intermediaire, Eval finale, Questionnaire satisfaction, Document de fin</v>
      </c>
      <c r="V143" s="16">
        <f t="shared" si="2"/>
        <v>0</v>
      </c>
      <c r="W143" s="15" t="str">
        <f t="shared" si="3"/>
        <v/>
      </c>
      <c r="X143" s="15" t="str">
        <f t="shared" si="4"/>
        <v/>
      </c>
      <c r="Y143" s="11" t="s">
        <v>74</v>
      </c>
    </row>
    <row r="144" ht="15.0" customHeight="1">
      <c r="A144" s="15" t="s">
        <v>330</v>
      </c>
      <c r="B144" s="15" t="s">
        <v>525</v>
      </c>
      <c r="C144" s="15" t="s">
        <v>130</v>
      </c>
      <c r="D144" s="15" t="s">
        <v>261</v>
      </c>
      <c r="E144" s="15" t="s">
        <v>310</v>
      </c>
      <c r="F144" s="15" t="s">
        <v>311</v>
      </c>
      <c r="G144" s="15" t="s">
        <v>249</v>
      </c>
      <c r="H144" s="15" t="s">
        <v>447</v>
      </c>
      <c r="I144" s="15" t="s">
        <v>448</v>
      </c>
      <c r="J144" s="15" t="s">
        <v>449</v>
      </c>
      <c r="K144" s="15"/>
      <c r="L144" s="15" t="s">
        <v>44</v>
      </c>
      <c r="M144" s="15" t="str">
        <f>'WEDOF - EXAMEN FINAL'!D144</f>
        <v>A faire</v>
      </c>
      <c r="N144" s="15" t="s">
        <v>44</v>
      </c>
      <c r="O144" s="15" t="s">
        <v>44</v>
      </c>
      <c r="P144" s="15" t="s">
        <v>44</v>
      </c>
      <c r="Q144" s="15" t="s">
        <v>44</v>
      </c>
      <c r="R144" s="15" t="s">
        <v>44</v>
      </c>
      <c r="S144" s="15" t="s">
        <v>44</v>
      </c>
      <c r="T144" s="15" t="s">
        <v>44</v>
      </c>
      <c r="U144" s="15" t="str">
        <f t="shared" si="1"/>
        <v>Analyse du besoin, CV, Questionnaire/Test, Contrat, Convocation, Eval intermediaire, Eval finale, Questionnaire satisfaction, Document de fin</v>
      </c>
      <c r="V144" s="16">
        <f t="shared" si="2"/>
        <v>0</v>
      </c>
      <c r="W144" s="15" t="str">
        <f t="shared" si="3"/>
        <v/>
      </c>
      <c r="X144" s="15" t="str">
        <f t="shared" si="4"/>
        <v/>
      </c>
      <c r="Y144" s="11" t="s">
        <v>74</v>
      </c>
    </row>
    <row r="145" ht="15.0" customHeight="1">
      <c r="A145" s="15" t="s">
        <v>330</v>
      </c>
      <c r="B145" s="15" t="s">
        <v>525</v>
      </c>
      <c r="C145" s="15" t="s">
        <v>130</v>
      </c>
      <c r="D145" s="15" t="s">
        <v>268</v>
      </c>
      <c r="E145" s="15" t="s">
        <v>321</v>
      </c>
      <c r="F145" s="15" t="s">
        <v>322</v>
      </c>
      <c r="G145" s="15" t="s">
        <v>249</v>
      </c>
      <c r="H145" s="15" t="s">
        <v>447</v>
      </c>
      <c r="I145" s="15"/>
      <c r="J145" s="15"/>
      <c r="K145" s="15"/>
      <c r="L145" s="15" t="s">
        <v>44</v>
      </c>
      <c r="M145" s="15" t="str">
        <f>'WEDOF - EXAMEN FINAL'!D145</f>
        <v>A faire</v>
      </c>
      <c r="N145" s="15" t="s">
        <v>44</v>
      </c>
      <c r="O145" s="15" t="s">
        <v>44</v>
      </c>
      <c r="P145" s="15" t="s">
        <v>44</v>
      </c>
      <c r="Q145" s="15" t="s">
        <v>44</v>
      </c>
      <c r="R145" s="15" t="s">
        <v>44</v>
      </c>
      <c r="S145" s="15" t="s">
        <v>44</v>
      </c>
      <c r="T145" s="15" t="s">
        <v>44</v>
      </c>
      <c r="U145" s="15" t="str">
        <f t="shared" si="1"/>
        <v>Analyse du besoin, CV, Questionnaire/Test, Contrat, Convocation, Eval intermediaire, Eval finale, Questionnaire satisfaction, Document de fin</v>
      </c>
      <c r="V145" s="16">
        <f t="shared" si="2"/>
        <v>0</v>
      </c>
      <c r="W145" s="15" t="str">
        <f t="shared" si="3"/>
        <v/>
      </c>
      <c r="X145" s="15" t="str">
        <f t="shared" si="4"/>
        <v/>
      </c>
      <c r="Y145" s="11" t="s">
        <v>74</v>
      </c>
    </row>
    <row r="146" ht="15.0" customHeight="1">
      <c r="A146" s="15" t="s">
        <v>330</v>
      </c>
      <c r="B146" s="15" t="s">
        <v>526</v>
      </c>
      <c r="C146" s="15" t="s">
        <v>260</v>
      </c>
      <c r="D146" s="15" t="s">
        <v>373</v>
      </c>
      <c r="E146" s="15" t="s">
        <v>527</v>
      </c>
      <c r="F146" s="15" t="s">
        <v>321</v>
      </c>
      <c r="G146" s="15" t="s">
        <v>320</v>
      </c>
      <c r="H146" s="15" t="s">
        <v>503</v>
      </c>
      <c r="I146" s="15" t="s">
        <v>504</v>
      </c>
      <c r="J146" s="15" t="s">
        <v>505</v>
      </c>
      <c r="K146" s="15"/>
      <c r="L146" s="15" t="s">
        <v>44</v>
      </c>
      <c r="M146" s="15" t="str">
        <f>'WEDOF - EXAMEN FINAL'!D146</f>
        <v>A faire</v>
      </c>
      <c r="N146" s="15" t="s">
        <v>44</v>
      </c>
      <c r="O146" s="15" t="s">
        <v>44</v>
      </c>
      <c r="P146" s="15" t="s">
        <v>44</v>
      </c>
      <c r="Q146" s="15" t="s">
        <v>44</v>
      </c>
      <c r="R146" s="15" t="s">
        <v>44</v>
      </c>
      <c r="S146" s="15" t="s">
        <v>44</v>
      </c>
      <c r="T146" s="15" t="s">
        <v>44</v>
      </c>
      <c r="U146" s="15" t="str">
        <f t="shared" si="1"/>
        <v>Analyse du besoin, CV, Questionnaire/Test, Contrat, Convocation, Eval intermediaire, Eval finale, Questionnaire satisfaction, Document de fin</v>
      </c>
      <c r="V146" s="16">
        <f t="shared" si="2"/>
        <v>0</v>
      </c>
      <c r="W146" s="15" t="str">
        <f t="shared" si="3"/>
        <v/>
      </c>
      <c r="X146" s="15" t="str">
        <f t="shared" si="4"/>
        <v/>
      </c>
      <c r="Y146" s="11" t="s">
        <v>74</v>
      </c>
    </row>
    <row r="147" ht="15.0" customHeight="1">
      <c r="A147" s="15" t="s">
        <v>330</v>
      </c>
      <c r="B147" s="15" t="s">
        <v>528</v>
      </c>
      <c r="C147" s="15" t="s">
        <v>457</v>
      </c>
      <c r="D147" s="15" t="s">
        <v>268</v>
      </c>
      <c r="E147" s="15" t="s">
        <v>321</v>
      </c>
      <c r="F147" s="15" t="s">
        <v>322</v>
      </c>
      <c r="G147" s="15" t="s">
        <v>320</v>
      </c>
      <c r="H147" s="15"/>
      <c r="I147" s="15"/>
      <c r="J147" s="15"/>
      <c r="K147" s="15"/>
      <c r="L147" s="15" t="s">
        <v>44</v>
      </c>
      <c r="M147" s="15" t="str">
        <f>'WEDOF - EXAMEN FINAL'!D147</f>
        <v>A faire</v>
      </c>
      <c r="N147" s="15" t="s">
        <v>44</v>
      </c>
      <c r="O147" s="15" t="s">
        <v>44</v>
      </c>
      <c r="P147" s="15" t="s">
        <v>44</v>
      </c>
      <c r="Q147" s="15" t="s">
        <v>44</v>
      </c>
      <c r="R147" s="15" t="s">
        <v>44</v>
      </c>
      <c r="S147" s="15" t="s">
        <v>44</v>
      </c>
      <c r="T147" s="15" t="s">
        <v>44</v>
      </c>
      <c r="U147" s="15" t="str">
        <f t="shared" si="1"/>
        <v>Analyse du besoin, CV, Questionnaire/Test, Contrat, Convocation, Eval intermediaire, Eval finale, Questionnaire satisfaction, Document de fin</v>
      </c>
      <c r="V147" s="16">
        <f t="shared" si="2"/>
        <v>0</v>
      </c>
      <c r="W147" s="15" t="str">
        <f t="shared" si="3"/>
        <v/>
      </c>
      <c r="X147" s="15" t="str">
        <f t="shared" si="4"/>
        <v/>
      </c>
      <c r="Y147" s="11" t="s">
        <v>74</v>
      </c>
    </row>
    <row r="148" ht="15.0" customHeight="1">
      <c r="A148" s="15" t="s">
        <v>330</v>
      </c>
      <c r="B148" s="15" t="s">
        <v>528</v>
      </c>
      <c r="C148" s="15" t="s">
        <v>457</v>
      </c>
      <c r="D148" s="15" t="s">
        <v>56</v>
      </c>
      <c r="E148" s="15" t="s">
        <v>324</v>
      </c>
      <c r="F148" s="15" t="s">
        <v>325</v>
      </c>
      <c r="G148" s="15" t="s">
        <v>320</v>
      </c>
      <c r="H148" s="15"/>
      <c r="I148" s="15"/>
      <c r="J148" s="15"/>
      <c r="K148" s="15"/>
      <c r="L148" s="15" t="s">
        <v>44</v>
      </c>
      <c r="M148" s="15" t="str">
        <f>'WEDOF - EXAMEN FINAL'!D148</f>
        <v>A faire</v>
      </c>
      <c r="N148" s="15" t="s">
        <v>44</v>
      </c>
      <c r="O148" s="15" t="s">
        <v>44</v>
      </c>
      <c r="P148" s="15" t="s">
        <v>44</v>
      </c>
      <c r="Q148" s="15" t="s">
        <v>44</v>
      </c>
      <c r="R148" s="15" t="s">
        <v>44</v>
      </c>
      <c r="S148" s="15" t="s">
        <v>44</v>
      </c>
      <c r="T148" s="15" t="s">
        <v>44</v>
      </c>
      <c r="U148" s="15" t="str">
        <f t="shared" si="1"/>
        <v>Analyse du besoin, CV, Questionnaire/Test, Contrat, Convocation, Eval intermediaire, Eval finale, Questionnaire satisfaction, Document de fin</v>
      </c>
      <c r="V148" s="16">
        <f t="shared" si="2"/>
        <v>0</v>
      </c>
      <c r="W148" s="15" t="str">
        <f t="shared" si="3"/>
        <v/>
      </c>
      <c r="X148" s="15" t="str">
        <f t="shared" si="4"/>
        <v/>
      </c>
      <c r="Y148" s="11" t="s">
        <v>74</v>
      </c>
    </row>
    <row r="149" ht="15.0" customHeight="1">
      <c r="A149" s="15" t="s">
        <v>330</v>
      </c>
      <c r="B149" s="15" t="s">
        <v>529</v>
      </c>
      <c r="C149" s="15" t="s">
        <v>260</v>
      </c>
      <c r="D149" s="15" t="s">
        <v>373</v>
      </c>
      <c r="E149" s="15" t="s">
        <v>324</v>
      </c>
      <c r="F149" s="15" t="s">
        <v>325</v>
      </c>
      <c r="G149" s="15" t="s">
        <v>320</v>
      </c>
      <c r="H149" s="15"/>
      <c r="I149" s="15" t="s">
        <v>504</v>
      </c>
      <c r="J149" s="15" t="s">
        <v>505</v>
      </c>
      <c r="K149" s="15"/>
      <c r="L149" s="15" t="s">
        <v>44</v>
      </c>
      <c r="M149" s="15" t="str">
        <f>'WEDOF - EXAMEN FINAL'!D149</f>
        <v>A faire</v>
      </c>
      <c r="N149" s="15" t="s">
        <v>44</v>
      </c>
      <c r="O149" s="15" t="s">
        <v>44</v>
      </c>
      <c r="P149" s="15" t="s">
        <v>44</v>
      </c>
      <c r="Q149" s="15" t="s">
        <v>44</v>
      </c>
      <c r="R149" s="15" t="s">
        <v>44</v>
      </c>
      <c r="S149" s="15" t="s">
        <v>44</v>
      </c>
      <c r="T149" s="15" t="s">
        <v>44</v>
      </c>
      <c r="U149" s="15" t="str">
        <f t="shared" si="1"/>
        <v>Analyse du besoin, CV, Questionnaire/Test, Contrat, Convocation, Eval intermediaire, Eval finale, Questionnaire satisfaction, Document de fin</v>
      </c>
      <c r="V149" s="16">
        <f t="shared" si="2"/>
        <v>0</v>
      </c>
      <c r="W149" s="15" t="str">
        <f t="shared" si="3"/>
        <v/>
      </c>
      <c r="X149" s="15" t="str">
        <f t="shared" si="4"/>
        <v/>
      </c>
      <c r="Y149" s="11" t="s">
        <v>68</v>
      </c>
    </row>
    <row r="150" ht="15.0" customHeight="1">
      <c r="A150" s="15" t="s">
        <v>330</v>
      </c>
      <c r="B150" s="15" t="s">
        <v>530</v>
      </c>
      <c r="C150" s="15" t="s">
        <v>260</v>
      </c>
      <c r="D150" s="15" t="s">
        <v>373</v>
      </c>
      <c r="E150" s="15" t="s">
        <v>324</v>
      </c>
      <c r="F150" s="15" t="s">
        <v>325</v>
      </c>
      <c r="G150" s="15" t="s">
        <v>249</v>
      </c>
      <c r="H150" s="15"/>
      <c r="I150" s="15" t="s">
        <v>504</v>
      </c>
      <c r="J150" s="15" t="s">
        <v>505</v>
      </c>
      <c r="K150" s="15"/>
      <c r="L150" s="15" t="s">
        <v>44</v>
      </c>
      <c r="M150" s="15" t="str">
        <f>'WEDOF - EXAMEN FINAL'!D150</f>
        <v>A faire</v>
      </c>
      <c r="N150" s="15" t="s">
        <v>44</v>
      </c>
      <c r="O150" s="15" t="s">
        <v>44</v>
      </c>
      <c r="P150" s="15" t="s">
        <v>44</v>
      </c>
      <c r="Q150" s="15" t="s">
        <v>44</v>
      </c>
      <c r="R150" s="15" t="s">
        <v>44</v>
      </c>
      <c r="S150" s="15" t="s">
        <v>44</v>
      </c>
      <c r="T150" s="15" t="s">
        <v>44</v>
      </c>
      <c r="U150" s="15" t="str">
        <f t="shared" si="1"/>
        <v>Analyse du besoin, CV, Questionnaire/Test, Contrat, Convocation, Eval intermediaire, Eval finale, Questionnaire satisfaction, Document de fin</v>
      </c>
      <c r="V150" s="16">
        <f t="shared" si="2"/>
        <v>0</v>
      </c>
      <c r="W150" s="15" t="str">
        <f t="shared" si="3"/>
        <v/>
      </c>
      <c r="X150" s="15" t="str">
        <f t="shared" si="4"/>
        <v/>
      </c>
      <c r="Y150" s="11" t="s">
        <v>68</v>
      </c>
    </row>
    <row r="151" ht="15.0" customHeight="1">
      <c r="A151" s="15" t="s">
        <v>330</v>
      </c>
      <c r="B151" s="15" t="s">
        <v>531</v>
      </c>
      <c r="C151" s="15" t="s">
        <v>130</v>
      </c>
      <c r="D151" s="15" t="s">
        <v>261</v>
      </c>
      <c r="E151" s="15" t="s">
        <v>532</v>
      </c>
      <c r="F151" s="15" t="s">
        <v>533</v>
      </c>
      <c r="G151" s="15" t="s">
        <v>320</v>
      </c>
      <c r="H151" s="15"/>
      <c r="I151" s="15" t="s">
        <v>523</v>
      </c>
      <c r="J151" s="15" t="s">
        <v>524</v>
      </c>
      <c r="K151" s="15"/>
      <c r="L151" s="15" t="s">
        <v>44</v>
      </c>
      <c r="M151" s="15" t="str">
        <f>'WEDOF - EXAMEN FINAL'!D151</f>
        <v>A faire</v>
      </c>
      <c r="N151" s="15" t="s">
        <v>44</v>
      </c>
      <c r="O151" s="15" t="s">
        <v>44</v>
      </c>
      <c r="P151" s="15" t="s">
        <v>44</v>
      </c>
      <c r="Q151" s="15" t="s">
        <v>44</v>
      </c>
      <c r="R151" s="15" t="s">
        <v>44</v>
      </c>
      <c r="S151" s="15" t="s">
        <v>44</v>
      </c>
      <c r="T151" s="15" t="s">
        <v>44</v>
      </c>
      <c r="U151" s="15" t="str">
        <f t="shared" si="1"/>
        <v>Analyse du besoin, CV, Questionnaire/Test, Contrat, Convocation, Eval intermediaire, Eval finale, Questionnaire satisfaction, Document de fin</v>
      </c>
      <c r="V151" s="16">
        <f t="shared" si="2"/>
        <v>0</v>
      </c>
      <c r="W151" s="15" t="str">
        <f t="shared" si="3"/>
        <v/>
      </c>
      <c r="X151" s="15" t="str">
        <f t="shared" si="4"/>
        <v/>
      </c>
      <c r="Y151" s="11" t="s">
        <v>68</v>
      </c>
    </row>
    <row r="152" ht="15.0" customHeight="1">
      <c r="A152" s="15" t="s">
        <v>330</v>
      </c>
      <c r="B152" s="15" t="s">
        <v>531</v>
      </c>
      <c r="C152" s="15" t="s">
        <v>130</v>
      </c>
      <c r="D152" s="15" t="s">
        <v>268</v>
      </c>
      <c r="E152" s="15" t="s">
        <v>321</v>
      </c>
      <c r="F152" s="15" t="s">
        <v>322</v>
      </c>
      <c r="G152" s="15" t="s">
        <v>320</v>
      </c>
      <c r="H152" s="15"/>
      <c r="I152" s="15"/>
      <c r="J152" s="15"/>
      <c r="K152" s="15"/>
      <c r="L152" s="15" t="s">
        <v>44</v>
      </c>
      <c r="M152" s="15" t="str">
        <f>'WEDOF - EXAMEN FINAL'!D152</f>
        <v>A faire</v>
      </c>
      <c r="N152" s="15" t="s">
        <v>44</v>
      </c>
      <c r="O152" s="15" t="s">
        <v>44</v>
      </c>
      <c r="P152" s="15" t="s">
        <v>44</v>
      </c>
      <c r="Q152" s="15" t="s">
        <v>44</v>
      </c>
      <c r="R152" s="15" t="s">
        <v>44</v>
      </c>
      <c r="S152" s="15" t="s">
        <v>44</v>
      </c>
      <c r="T152" s="15" t="s">
        <v>44</v>
      </c>
      <c r="U152" s="15" t="str">
        <f t="shared" si="1"/>
        <v>Analyse du besoin, CV, Questionnaire/Test, Contrat, Convocation, Eval intermediaire, Eval finale, Questionnaire satisfaction, Document de fin</v>
      </c>
      <c r="V152" s="16">
        <f t="shared" si="2"/>
        <v>0</v>
      </c>
      <c r="W152" s="15" t="str">
        <f t="shared" si="3"/>
        <v/>
      </c>
      <c r="X152" s="15" t="str">
        <f t="shared" si="4"/>
        <v/>
      </c>
      <c r="Y152" s="11" t="s">
        <v>68</v>
      </c>
    </row>
    <row r="153" ht="15.0" customHeight="1">
      <c r="A153" s="15" t="s">
        <v>330</v>
      </c>
      <c r="B153" s="15" t="s">
        <v>531</v>
      </c>
      <c r="C153" s="15" t="s">
        <v>130</v>
      </c>
      <c r="D153" s="15" t="s">
        <v>56</v>
      </c>
      <c r="E153" s="15" t="s">
        <v>324</v>
      </c>
      <c r="F153" s="15" t="s">
        <v>325</v>
      </c>
      <c r="G153" s="15" t="s">
        <v>320</v>
      </c>
      <c r="H153" s="15"/>
      <c r="I153" s="15"/>
      <c r="J153" s="15"/>
      <c r="K153" s="15"/>
      <c r="L153" s="15" t="s">
        <v>44</v>
      </c>
      <c r="M153" s="15" t="str">
        <f>'WEDOF - EXAMEN FINAL'!D153</f>
        <v>A faire</v>
      </c>
      <c r="N153" s="15" t="s">
        <v>44</v>
      </c>
      <c r="O153" s="15" t="s">
        <v>44</v>
      </c>
      <c r="P153" s="15" t="s">
        <v>44</v>
      </c>
      <c r="Q153" s="15" t="s">
        <v>44</v>
      </c>
      <c r="R153" s="15" t="s">
        <v>44</v>
      </c>
      <c r="S153" s="15" t="s">
        <v>44</v>
      </c>
      <c r="T153" s="15" t="s">
        <v>44</v>
      </c>
      <c r="U153" s="15" t="str">
        <f t="shared" si="1"/>
        <v>Analyse du besoin, CV, Questionnaire/Test, Contrat, Convocation, Eval intermediaire, Eval finale, Questionnaire satisfaction, Document de fin</v>
      </c>
      <c r="V153" s="16">
        <f t="shared" si="2"/>
        <v>0</v>
      </c>
      <c r="W153" s="15" t="str">
        <f t="shared" si="3"/>
        <v/>
      </c>
      <c r="X153" s="15" t="str">
        <f t="shared" si="4"/>
        <v/>
      </c>
      <c r="Y153" s="11" t="s">
        <v>68</v>
      </c>
    </row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Y$153"/>
  <conditionalFormatting sqref="L2:T153">
    <cfRule type="expression" dxfId="0" priority="1">
      <formula>L2="Fait"</formula>
    </cfRule>
  </conditionalFormatting>
  <conditionalFormatting sqref="L2:T153">
    <cfRule type="expression" dxfId="1" priority="2">
      <formula>L2="A faire"</formula>
    </cfRule>
  </conditionalFormatting>
  <conditionalFormatting sqref="W2:W153">
    <cfRule type="expression" dxfId="1" priority="3">
      <formula>$W2&lt;&gt;""</formula>
    </cfRule>
  </conditionalFormatting>
  <conditionalFormatting sqref="X2:X153">
    <cfRule type="expression" dxfId="1" priority="4">
      <formula>$X2&lt;&gt;""</formula>
    </cfRule>
  </conditionalFormatting>
  <conditionalFormatting sqref="Y2:Y153">
    <cfRule type="expression" dxfId="0" priority="5">
      <formula>Y2="Oui"</formula>
    </cfRule>
  </conditionalFormatting>
  <conditionalFormatting sqref="Y2:Y153">
    <cfRule type="expression" dxfId="1" priority="6">
      <formula>Y2="Non"</formula>
    </cfRule>
  </conditionalFormatting>
  <dataValidations>
    <dataValidation type="list" allowBlank="1" showErrorMessage="1" sqref="L2:L153 N2:T153">
      <formula1>"Fait,A faire"</formula1>
    </dataValidation>
    <dataValidation type="list" allowBlank="1" showErrorMessage="1" sqref="Y2:Y153">
      <formula1>"Oui,Non"</formula1>
    </dataValidation>
    <dataValidation type="list" allowBlank="1" showErrorMessage="1" sqref="A2:A153">
      <formula1>"Proforma Institut,Proskills Institut"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2.0"/>
    <col customWidth="1" min="3" max="3" width="14.0"/>
    <col customWidth="1" min="4" max="5" width="8.0"/>
    <col customWidth="1" min="6" max="6" width="16.0"/>
    <col customWidth="1" min="7" max="7" width="18.0"/>
    <col customWidth="1" min="8" max="8" width="40.0"/>
    <col customWidth="1" min="9" max="9" width="30.0"/>
    <col customWidth="1" min="10" max="10" width="26.0"/>
    <col customWidth="1" min="11" max="11" width="14.0"/>
    <col customWidth="1" min="12" max="12" width="16.0"/>
    <col customWidth="1" min="13" max="13" width="40.0"/>
    <col customWidth="1" min="14" max="26" width="8.63"/>
  </cols>
  <sheetData>
    <row r="1" ht="26.25" customHeight="1">
      <c r="A1" s="2" t="s">
        <v>0</v>
      </c>
      <c r="B1" s="2" t="s">
        <v>3</v>
      </c>
      <c r="C1" s="2" t="s">
        <v>5</v>
      </c>
      <c r="D1" s="2" t="s">
        <v>6</v>
      </c>
      <c r="E1" s="2" t="s">
        <v>9</v>
      </c>
      <c r="F1" s="2" t="s">
        <v>10</v>
      </c>
      <c r="G1" s="2" t="s">
        <v>11</v>
      </c>
      <c r="H1" s="2" t="s">
        <v>13</v>
      </c>
      <c r="I1" s="2" t="s">
        <v>16</v>
      </c>
      <c r="J1" s="2" t="s">
        <v>19</v>
      </c>
      <c r="K1" s="2" t="s">
        <v>21</v>
      </c>
      <c r="L1" s="2" t="s">
        <v>23</v>
      </c>
      <c r="M1" s="2" t="s">
        <v>26</v>
      </c>
    </row>
    <row r="2" ht="15.0" customHeight="1">
      <c r="A2" s="6" t="str">
        <f>APPRENANTS!A2</f>
        <v>Proforma Institut</v>
      </c>
      <c r="B2" s="6" t="str">
        <f>APPRENANTS!B2</f>
        <v>Mohamed Ait Baha</v>
      </c>
      <c r="C2" s="6" t="str">
        <f>APPRENANTS!C2</f>
        <v>Djody</v>
      </c>
      <c r="D2" s="6" t="s">
        <v>44</v>
      </c>
      <c r="E2" s="6" t="s">
        <v>44</v>
      </c>
      <c r="F2" s="6" t="s">
        <v>44</v>
      </c>
      <c r="G2" s="6" t="s">
        <v>47</v>
      </c>
      <c r="H2" s="6"/>
      <c r="I2" s="6" t="str">
        <f>APPRENANTS!H2</f>
        <v>141 BD Maréchal Juin, 62110 HENIN BEAUMONT</v>
      </c>
      <c r="J2" s="6" t="str">
        <f>APPRENANTS!I2</f>
        <v>mohamed.aitbaha@hotmail.fr</v>
      </c>
      <c r="K2" s="6" t="str">
        <f>APPRENANTS!J2</f>
        <v>782270615</v>
      </c>
      <c r="L2" s="6" t="str">
        <f>APPRENANTS!K2</f>
        <v>1982-09-04</v>
      </c>
      <c r="M2" s="10" t="str">
        <f t="shared" ref="M2:M153" si="1">TEXTJOIN(", ",TRUE(),IF($D2="A faire","CV",""),IF($E2="A faire","CIN",""),IF($F2="A faire","6 dossiers admin",""),IF($G2="A faire","Convocation examen",""))</f>
        <v>CV, CIN, 6 dossiers admin</v>
      </c>
    </row>
    <row r="3" ht="15.0" customHeight="1">
      <c r="A3" s="6" t="str">
        <f>APPRENANTS!A3</f>
        <v>Proforma Institut</v>
      </c>
      <c r="B3" s="6" t="str">
        <f>APPRENANTS!B3</f>
        <v>Frederic Roche</v>
      </c>
      <c r="C3" s="6" t="str">
        <f>APPRENANTS!C3</f>
        <v>Nedjma</v>
      </c>
      <c r="D3" s="6" t="s">
        <v>47</v>
      </c>
      <c r="E3" s="6" t="s">
        <v>44</v>
      </c>
      <c r="F3" s="6" t="s">
        <v>47</v>
      </c>
      <c r="G3" s="6" t="s">
        <v>47</v>
      </c>
      <c r="H3" s="6" t="s">
        <v>67</v>
      </c>
      <c r="I3" s="6" t="str">
        <f>APPRENANTS!H3</f>
        <v>10 AV Des mimosas, 13015 MARSEILLE</v>
      </c>
      <c r="J3" s="6" t="str">
        <f>APPRENANTS!I3</f>
        <v>fred_mars13@hotmail.fr</v>
      </c>
      <c r="K3" s="6" t="str">
        <f>APPRENANTS!J3</f>
        <v>613637315</v>
      </c>
      <c r="L3" s="6" t="str">
        <f>APPRENANTS!K3</f>
        <v>18/02/1981</v>
      </c>
      <c r="M3" s="10" t="str">
        <f t="shared" si="1"/>
        <v>CIN</v>
      </c>
    </row>
    <row r="4" ht="15.0" customHeight="1">
      <c r="A4" s="6" t="str">
        <f>APPRENANTS!A4</f>
        <v>Proforma Institut</v>
      </c>
      <c r="B4" s="6" t="str">
        <f>APPRENANTS!B4</f>
        <v>SIAF Kamla</v>
      </c>
      <c r="C4" s="6" t="str">
        <f>APPRENANTS!C4</f>
        <v>Nedjma</v>
      </c>
      <c r="D4" s="6" t="s">
        <v>44</v>
      </c>
      <c r="E4" s="6" t="s">
        <v>44</v>
      </c>
      <c r="F4" s="6" t="s">
        <v>44</v>
      </c>
      <c r="G4" s="6" t="s">
        <v>47</v>
      </c>
      <c r="H4" s="6"/>
      <c r="I4" s="6" t="str">
        <f>APPRENANTS!H4</f>
        <v>171 AV du Merlan, 13014 MARSEILLE</v>
      </c>
      <c r="J4" s="6" t="str">
        <f>APPRENANTS!I4</f>
        <v>mimisiaf@gmail.com</v>
      </c>
      <c r="K4" s="6" t="str">
        <f>APPRENANTS!J4</f>
        <v>629924780</v>
      </c>
      <c r="L4" s="6" t="str">
        <f>APPRENANTS!K4</f>
        <v>13/08/1965</v>
      </c>
      <c r="M4" s="10" t="str">
        <f t="shared" si="1"/>
        <v>CV, CIN, 6 dossiers admin</v>
      </c>
    </row>
    <row r="5" ht="15.0" customHeight="1">
      <c r="A5" s="6" t="str">
        <f>APPRENANTS!A5</f>
        <v>Proforma Institut</v>
      </c>
      <c r="B5" s="6" t="str">
        <f>APPRENANTS!B5</f>
        <v>HAFIDHOU Mansouri</v>
      </c>
      <c r="C5" s="6" t="str">
        <f>APPRENANTS!C5</f>
        <v>Nedjma</v>
      </c>
      <c r="D5" s="6" t="s">
        <v>47</v>
      </c>
      <c r="E5" s="6" t="s">
        <v>47</v>
      </c>
      <c r="F5" s="6" t="s">
        <v>47</v>
      </c>
      <c r="G5" s="6" t="s">
        <v>47</v>
      </c>
      <c r="H5" s="6" t="s">
        <v>73</v>
      </c>
      <c r="I5" s="6" t="str">
        <f>APPRENANTS!H5</f>
        <v>178 AV Des chutes lavie, 13013 MARSEILLE</v>
      </c>
      <c r="J5" s="6" t="str">
        <f>APPRENANTS!I5</f>
        <v>mansourihafidou@gmail.com</v>
      </c>
      <c r="K5" s="6" t="str">
        <f>APPRENANTS!J5</f>
        <v>763179407</v>
      </c>
      <c r="L5" s="6" t="str">
        <f>APPRENANTS!K5</f>
        <v>1990-07-05</v>
      </c>
      <c r="M5" s="10" t="str">
        <f t="shared" si="1"/>
        <v/>
      </c>
    </row>
    <row r="6" ht="15.0" customHeight="1">
      <c r="A6" s="6" t="str">
        <f>APPRENANTS!A6</f>
        <v>Proforma Institut</v>
      </c>
      <c r="B6" s="6" t="str">
        <f>APPRENANTS!B6</f>
        <v>DELGADO DA CRUZ Francisco</v>
      </c>
      <c r="C6" s="6" t="str">
        <f>APPRENANTS!C6</f>
        <v>Nedjma</v>
      </c>
      <c r="D6" s="6" t="s">
        <v>47</v>
      </c>
      <c r="E6" s="6" t="s">
        <v>47</v>
      </c>
      <c r="F6" s="6" t="s">
        <v>47</v>
      </c>
      <c r="G6" s="6" t="s">
        <v>47</v>
      </c>
      <c r="H6" s="6" t="s">
        <v>81</v>
      </c>
      <c r="I6" s="6" t="str">
        <f>APPRENANTS!H6</f>
        <v>29 PTR Sainte victoire, 13006 MARSEILLE</v>
      </c>
      <c r="J6" s="6" t="str">
        <f>APPRENANTS!I6</f>
        <v>chicodelgado72@gmail.com</v>
      </c>
      <c r="K6" s="6" t="str">
        <f>APPRENANTS!J6</f>
        <v>783823367</v>
      </c>
      <c r="L6" s="6" t="str">
        <f>APPRENANTS!K6</f>
        <v>1972-11-07</v>
      </c>
      <c r="M6" s="10" t="str">
        <f t="shared" si="1"/>
        <v/>
      </c>
    </row>
    <row r="7" ht="15.0" customHeight="1">
      <c r="A7" s="6" t="str">
        <f>APPRENANTS!A7</f>
        <v>Proforma Institut</v>
      </c>
      <c r="B7" s="6" t="str">
        <f>APPRENANTS!B7</f>
        <v>DOUMENC Christophe</v>
      </c>
      <c r="C7" s="6" t="str">
        <f>APPRENANTS!C7</f>
        <v>Nedjma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82</v>
      </c>
      <c r="I7" s="6" t="str">
        <f>APPRENANTS!H7</f>
        <v>16 RUE Nicolas copernic, 13013 MARSEILLE</v>
      </c>
      <c r="J7" s="6" t="str">
        <f>APPRENANTS!I7</f>
        <v>christophedoumenc13@gmail.com</v>
      </c>
      <c r="K7" s="6" t="str">
        <f>APPRENANTS!J7</f>
        <v>681540974</v>
      </c>
      <c r="L7" s="6" t="str">
        <f>APPRENANTS!K7</f>
        <v>30/12/1972</v>
      </c>
      <c r="M7" s="10" t="str">
        <f t="shared" si="1"/>
        <v/>
      </c>
    </row>
    <row r="8" ht="15.0" customHeight="1">
      <c r="A8" s="6" t="str">
        <f>APPRENANTS!A8</f>
        <v>Proforma Institut</v>
      </c>
      <c r="B8" s="6" t="str">
        <f>APPRENANTS!B8</f>
        <v>AHAMADA BOURHANE Soilihi</v>
      </c>
      <c r="C8" s="6" t="str">
        <f>APPRENANTS!C8</f>
        <v>Nedjma</v>
      </c>
      <c r="D8" s="6" t="s">
        <v>47</v>
      </c>
      <c r="E8" s="6" t="s">
        <v>47</v>
      </c>
      <c r="F8" s="6" t="s">
        <v>47</v>
      </c>
      <c r="G8" s="6" t="s">
        <v>47</v>
      </c>
      <c r="H8" s="6" t="s">
        <v>85</v>
      </c>
      <c r="I8" s="6" t="str">
        <f>APPRENANTS!H8</f>
        <v>257 AV Saint antoine, 13015 MARSEILLE</v>
      </c>
      <c r="J8" s="6" t="str">
        <f>APPRENANTS!I8</f>
        <v>ahamada.s@live.fr</v>
      </c>
      <c r="K8" s="6" t="str">
        <f>APPRENANTS!J8</f>
        <v>652632912</v>
      </c>
      <c r="L8" s="6" t="str">
        <f>APPRENANTS!K8</f>
        <v>22/06/1991</v>
      </c>
      <c r="M8" s="10" t="str">
        <f t="shared" si="1"/>
        <v/>
      </c>
    </row>
    <row r="9" ht="15.0" customHeight="1">
      <c r="A9" s="6" t="str">
        <f>APPRENANTS!A9</f>
        <v>Proforma Institut</v>
      </c>
      <c r="B9" s="6" t="str">
        <f>APPRENANTS!B9</f>
        <v>BENGUEDIH Kader</v>
      </c>
      <c r="C9" s="6" t="str">
        <f>APPRENANTS!C9</f>
        <v>Nedjma</v>
      </c>
      <c r="D9" s="6" t="s">
        <v>47</v>
      </c>
      <c r="E9" s="6" t="s">
        <v>44</v>
      </c>
      <c r="F9" s="6" t="s">
        <v>47</v>
      </c>
      <c r="G9" s="6" t="s">
        <v>47</v>
      </c>
      <c r="H9" s="6" t="s">
        <v>91</v>
      </c>
      <c r="I9" s="6" t="str">
        <f>APPRENANTS!H9</f>
        <v>130 CHE Château gombert, 13013 MARSEILLE</v>
      </c>
      <c r="J9" s="6" t="str">
        <f>APPRENANTS!I9</f>
        <v>Benguedihk@yahoo.fr</v>
      </c>
      <c r="K9" s="6" t="str">
        <f>APPRENANTS!J9</f>
        <v>617440902</v>
      </c>
      <c r="L9" s="6" t="str">
        <f>APPRENANTS!K9</f>
        <v>19/08/1987</v>
      </c>
      <c r="M9" s="10" t="str">
        <f t="shared" si="1"/>
        <v>CIN</v>
      </c>
    </row>
    <row r="10" ht="15.0" customHeight="1">
      <c r="A10" s="6" t="str">
        <f>APPRENANTS!A10</f>
        <v>Proforma Institut</v>
      </c>
      <c r="B10" s="6" t="str">
        <f>APPRENANTS!B10</f>
        <v>Julie Scotto D Aniello</v>
      </c>
      <c r="C10" s="6" t="str">
        <f>APPRENANTS!C10</f>
        <v>Sabri</v>
      </c>
      <c r="D10" s="6" t="s">
        <v>47</v>
      </c>
      <c r="E10" s="6" t="s">
        <v>47</v>
      </c>
      <c r="F10" s="6" t="s">
        <v>47</v>
      </c>
      <c r="G10" s="6" t="s">
        <v>47</v>
      </c>
      <c r="H10" s="6" t="s">
        <v>97</v>
      </c>
      <c r="I10" s="6" t="str">
        <f>APPRENANTS!H10</f>
        <v>23 BD Boulevard Georges Clemenceau, 13700 MARIGNANE</v>
      </c>
      <c r="J10" s="6" t="str">
        <f>APPRENANTS!I10</f>
        <v>13julie@free.fr</v>
      </c>
      <c r="K10" s="6" t="str">
        <f>APPRENANTS!J10</f>
        <v>643092268</v>
      </c>
      <c r="L10" s="6" t="str">
        <f>APPRENANTS!K10</f>
        <v>1994-05-09</v>
      </c>
      <c r="M10" s="10" t="str">
        <f t="shared" si="1"/>
        <v/>
      </c>
    </row>
    <row r="11" ht="15.0" customHeight="1">
      <c r="A11" s="6" t="str">
        <f>APPRENANTS!A11</f>
        <v>Proforma Institut</v>
      </c>
      <c r="B11" s="6" t="str">
        <f>APPRENANTS!B11</f>
        <v>Malik Benameur</v>
      </c>
      <c r="C11" s="6" t="str">
        <f>APPRENANTS!C11</f>
        <v>Sabri</v>
      </c>
      <c r="D11" s="6" t="s">
        <v>47</v>
      </c>
      <c r="E11" s="6" t="s">
        <v>47</v>
      </c>
      <c r="F11" s="6" t="s">
        <v>47</v>
      </c>
      <c r="G11" s="6" t="s">
        <v>47</v>
      </c>
      <c r="H11" s="6" t="s">
        <v>99</v>
      </c>
      <c r="I11" s="6" t="str">
        <f>APPRENANTS!H11</f>
        <v>12 RUE Pour la paix, 13120 GARDANNE</v>
      </c>
      <c r="J11" s="6" t="str">
        <f>APPRENANTS!I11</f>
        <v>Malik13950@gmail.com</v>
      </c>
      <c r="K11" s="6" t="str">
        <f>APPRENANTS!J11</f>
        <v>608544404</v>
      </c>
      <c r="L11" s="6" t="str">
        <f>APPRENANTS!K11</f>
        <v>24/06/1994</v>
      </c>
      <c r="M11" s="10" t="str">
        <f t="shared" si="1"/>
        <v/>
      </c>
    </row>
    <row r="12" ht="15.0" customHeight="1">
      <c r="A12" s="6" t="str">
        <f>APPRENANTS!A12</f>
        <v>Proforma Institut</v>
      </c>
      <c r="B12" s="6" t="str">
        <f>APPRENANTS!B12</f>
        <v>LEROY Aurelie</v>
      </c>
      <c r="C12" s="6" t="str">
        <f>APPRENANTS!C12</f>
        <v>Sabri</v>
      </c>
      <c r="D12" s="6" t="s">
        <v>47</v>
      </c>
      <c r="E12" s="6" t="s">
        <v>47</v>
      </c>
      <c r="F12" s="6" t="s">
        <v>47</v>
      </c>
      <c r="G12" s="6" t="s">
        <v>47</v>
      </c>
      <c r="H12" s="6" t="s">
        <v>104</v>
      </c>
      <c r="I12" s="6" t="str">
        <f>APPRENANTS!H12</f>
        <v>335 CHE Chemin des romarins, 13820 ENSUES LA REDONNE</v>
      </c>
      <c r="J12" s="6" t="str">
        <f>APPRENANTS!I12</f>
        <v>aurelie542@hotmail.fr</v>
      </c>
      <c r="K12" s="6" t="str">
        <f>APPRENANTS!J12</f>
        <v>631344712</v>
      </c>
      <c r="L12" s="6" t="str">
        <f>APPRENANTS!K12</f>
        <v>1986-04-07</v>
      </c>
      <c r="M12" s="10" t="str">
        <f t="shared" si="1"/>
        <v/>
      </c>
    </row>
    <row r="13" ht="15.0" customHeight="1">
      <c r="A13" s="6" t="str">
        <f>APPRENANTS!A13</f>
        <v>Proforma Institut</v>
      </c>
      <c r="B13" s="6" t="str">
        <f>APPRENANTS!B13</f>
        <v>SANIGOU Livan</v>
      </c>
      <c r="C13" s="6" t="str">
        <f>APPRENANTS!C13</f>
        <v>Sabri</v>
      </c>
      <c r="D13" s="6" t="s">
        <v>47</v>
      </c>
      <c r="E13" s="6" t="s">
        <v>47</v>
      </c>
      <c r="F13" s="6" t="s">
        <v>47</v>
      </c>
      <c r="G13" s="6" t="s">
        <v>47</v>
      </c>
      <c r="H13" s="6" t="s">
        <v>110</v>
      </c>
      <c r="I13" s="6" t="str">
        <f>APPRENANTS!H13</f>
        <v>1 IMP Du stade, 13080 AIX EN PROVENCE</v>
      </c>
      <c r="J13" s="6" t="str">
        <f>APPRENANTS!I13</f>
        <v>livansanigou@yahoo.fr</v>
      </c>
      <c r="K13" s="6" t="str">
        <f>APPRENANTS!J13</f>
        <v>775959572</v>
      </c>
      <c r="L13" s="6" t="str">
        <f>APPRENANTS!K13</f>
        <v>19/10/1983</v>
      </c>
      <c r="M13" s="10" t="str">
        <f t="shared" si="1"/>
        <v/>
      </c>
    </row>
    <row r="14" ht="15.0" customHeight="1">
      <c r="A14" s="6" t="str">
        <f>APPRENANTS!A14</f>
        <v>Proforma Institut</v>
      </c>
      <c r="B14" s="6" t="str">
        <f>APPRENANTS!B14</f>
        <v>GUILLOT Romain</v>
      </c>
      <c r="C14" s="6" t="str">
        <f>APPRENANTS!C14</f>
        <v>Sabri</v>
      </c>
      <c r="D14" s="6" t="s">
        <v>47</v>
      </c>
      <c r="E14" s="6" t="s">
        <v>47</v>
      </c>
      <c r="F14" s="6" t="s">
        <v>47</v>
      </c>
      <c r="G14" s="6" t="s">
        <v>47</v>
      </c>
      <c r="H14" s="6" t="s">
        <v>111</v>
      </c>
      <c r="I14" s="6" t="str">
        <f>APPRENANTS!H14</f>
        <v>150 RUE Du groupe Manouchian, 13130 BERRE L ETANG</v>
      </c>
      <c r="J14" s="6" t="str">
        <f>APPRENANTS!I14</f>
        <v>romain.guillot82@gmail.com</v>
      </c>
      <c r="K14" s="6" t="str">
        <f>APPRENANTS!J14</f>
        <v>623318286</v>
      </c>
      <c r="L14" s="6" t="str">
        <f>APPRENANTS!K14</f>
        <v>30/10/1991</v>
      </c>
      <c r="M14" s="10" t="str">
        <f t="shared" si="1"/>
        <v/>
      </c>
    </row>
    <row r="15" ht="15.0" customHeight="1">
      <c r="A15" s="6" t="str">
        <f>APPRENANTS!A15</f>
        <v>Proforma Institut</v>
      </c>
      <c r="B15" s="6" t="str">
        <f>APPRENANTS!B15</f>
        <v>Eric Poggi</v>
      </c>
      <c r="C15" s="6" t="str">
        <f>APPRENANTS!C15</f>
        <v>Sabri</v>
      </c>
      <c r="D15" s="6" t="s">
        <v>47</v>
      </c>
      <c r="E15" s="6" t="s">
        <v>47</v>
      </c>
      <c r="F15" s="6" t="s">
        <v>47</v>
      </c>
      <c r="G15" s="6" t="s">
        <v>44</v>
      </c>
      <c r="H15" s="6" t="s">
        <v>120</v>
      </c>
      <c r="I15" s="6" t="str">
        <f>APPRENANTS!H15</f>
        <v>RUE Lieutenant de vaisseau Le Bris, 13127 VITROLLES</v>
      </c>
      <c r="J15" s="6" t="str">
        <f>APPRENANTS!I15</f>
        <v>ericpoggi13130@gmail.com</v>
      </c>
      <c r="K15" s="6" t="str">
        <f>APPRENANTS!J15</f>
        <v>614893272</v>
      </c>
      <c r="L15" s="6" t="str">
        <f>APPRENANTS!K15</f>
        <v>27/08/1979</v>
      </c>
      <c r="M15" s="10" t="str">
        <f t="shared" si="1"/>
        <v>Convocation examen</v>
      </c>
    </row>
    <row r="16" ht="15.0" customHeight="1">
      <c r="A16" s="6" t="str">
        <f>APPRENANTS!A16</f>
        <v>Proforma Institut</v>
      </c>
      <c r="B16" s="6" t="str">
        <f>APPRENANTS!B16</f>
        <v>SCOTTO D ANIELLO Lisa</v>
      </c>
      <c r="C16" s="6" t="str">
        <f>APPRENANTS!C16</f>
        <v>Sabri</v>
      </c>
      <c r="D16" s="6" t="s">
        <v>47</v>
      </c>
      <c r="E16" s="6" t="s">
        <v>47</v>
      </c>
      <c r="F16" s="6" t="s">
        <v>47</v>
      </c>
      <c r="G16" s="6" t="s">
        <v>44</v>
      </c>
      <c r="H16" s="6" t="s">
        <v>121</v>
      </c>
      <c r="I16" s="6" t="str">
        <f>APPRENANTS!H16</f>
        <v>SQ Louison bobet, 13700 MARIGNANE</v>
      </c>
      <c r="J16" s="6" t="str">
        <f>APPRENANTS!I16</f>
        <v>scottodaniellolisa@gmail.com</v>
      </c>
      <c r="K16" s="6" t="str">
        <f>APPRENANTS!J16</f>
        <v>646571045</v>
      </c>
      <c r="L16" s="6" t="str">
        <f>APPRENANTS!K16</f>
        <v>23/11/1996</v>
      </c>
      <c r="M16" s="10" t="str">
        <f t="shared" si="1"/>
        <v>Convocation examen</v>
      </c>
    </row>
    <row r="17" ht="15.0" customHeight="1">
      <c r="A17" s="6" t="str">
        <f>APPRENANTS!A17</f>
        <v>Proforma Institut</v>
      </c>
      <c r="B17" s="6" t="str">
        <f>APPRENANTS!B17</f>
        <v>Alexandre Francaux</v>
      </c>
      <c r="C17" s="6" t="str">
        <f>APPRENANTS!C17</f>
        <v>Sabri</v>
      </c>
      <c r="D17" s="6" t="s">
        <v>44</v>
      </c>
      <c r="E17" s="6" t="s">
        <v>47</v>
      </c>
      <c r="F17" s="6" t="s">
        <v>47</v>
      </c>
      <c r="G17" s="6" t="s">
        <v>44</v>
      </c>
      <c r="H17" s="6" t="s">
        <v>123</v>
      </c>
      <c r="I17" s="6" t="str">
        <f>APPRENANTS!H17</f>
        <v>8 RUE Du Béarn, 13180 GIGNAC LA NERTHE</v>
      </c>
      <c r="J17" s="6" t="str">
        <f>APPRENANTS!I17</f>
        <v>francauxa@gmail.com</v>
      </c>
      <c r="K17" s="6" t="str">
        <f>APPRENANTS!J17</f>
        <v>641679495</v>
      </c>
      <c r="L17" s="6" t="str">
        <f>APPRENANTS!K17</f>
        <v>14/03/1998</v>
      </c>
      <c r="M17" s="10" t="str">
        <f t="shared" si="1"/>
        <v>CV, Convocation examen</v>
      </c>
    </row>
    <row r="18" ht="15.0" customHeight="1">
      <c r="A18" s="6" t="str">
        <f>APPRENANTS!A18</f>
        <v>Proforma Institut</v>
      </c>
      <c r="B18" s="6" t="str">
        <f>APPRENANTS!B18</f>
        <v>Jauffrey Arezki</v>
      </c>
      <c r="C18" s="6" t="str">
        <f>APPRENANTS!C18</f>
        <v>Sabri</v>
      </c>
      <c r="D18" s="6" t="s">
        <v>44</v>
      </c>
      <c r="E18" s="6" t="s">
        <v>47</v>
      </c>
      <c r="F18" s="6" t="s">
        <v>47</v>
      </c>
      <c r="G18" s="6" t="s">
        <v>44</v>
      </c>
      <c r="H18" s="6" t="s">
        <v>128</v>
      </c>
      <c r="I18" s="6" t="str">
        <f>APPRENANTS!H18</f>
        <v>4 RUE des caucaires, 13127 VITROLLES</v>
      </c>
      <c r="J18" s="6" t="str">
        <f>APPRENANTS!I18</f>
        <v>jauffrey.arezki@outlook.com</v>
      </c>
      <c r="K18" s="6" t="str">
        <f>APPRENANTS!J18</f>
        <v>771067108</v>
      </c>
      <c r="L18" s="6" t="str">
        <f>APPRENANTS!K18</f>
        <v>21/10/1997</v>
      </c>
      <c r="M18" s="10" t="str">
        <f t="shared" si="1"/>
        <v>CV, Convocation examen</v>
      </c>
    </row>
    <row r="19" ht="15.0" customHeight="1">
      <c r="A19" s="6" t="str">
        <f>APPRENANTS!A19</f>
        <v>Proforma Institut</v>
      </c>
      <c r="B19" s="6" t="str">
        <f>APPRENANTS!B19</f>
        <v>NIEL Lucas</v>
      </c>
      <c r="C19" s="6" t="str">
        <f>APPRENANTS!C19</f>
        <v>Sabri</v>
      </c>
      <c r="D19" s="6" t="s">
        <v>47</v>
      </c>
      <c r="E19" s="6" t="s">
        <v>47</v>
      </c>
      <c r="F19" s="6" t="s">
        <v>47</v>
      </c>
      <c r="G19" s="6" t="s">
        <v>44</v>
      </c>
      <c r="H19" s="6"/>
      <c r="I19" s="6" t="str">
        <f>APPRENANTS!H19</f>
        <v>45 RUE lagremeuse, 13100 AIX EN PROVENCE</v>
      </c>
      <c r="J19" s="6" t="str">
        <f>APPRENANTS!I19</f>
        <v>niel.lucas@outlook.fr</v>
      </c>
      <c r="K19" s="6" t="str">
        <f>APPRENANTS!J19</f>
        <v>642413718</v>
      </c>
      <c r="L19" s="6" t="str">
        <f>APPRENANTS!K19</f>
        <v>1999-08-10</v>
      </c>
      <c r="M19" s="10" t="str">
        <f t="shared" si="1"/>
        <v>Convocation examen</v>
      </c>
    </row>
    <row r="20" ht="15.0" customHeight="1">
      <c r="A20" s="6" t="str">
        <f>APPRENANTS!A20</f>
        <v>Proforma Institut</v>
      </c>
      <c r="B20" s="6" t="str">
        <f>APPRENANTS!B20</f>
        <v>GIACALONE Thomas</v>
      </c>
      <c r="C20" s="6" t="str">
        <f>APPRENANTS!C20</f>
        <v>Sabri</v>
      </c>
      <c r="D20" s="6" t="s">
        <v>47</v>
      </c>
      <c r="E20" s="6" t="s">
        <v>47</v>
      </c>
      <c r="F20" s="6" t="s">
        <v>47</v>
      </c>
      <c r="G20" s="6" t="s">
        <v>44</v>
      </c>
      <c r="H20" s="6" t="s">
        <v>136</v>
      </c>
      <c r="I20" s="6" t="str">
        <f>APPRENANTS!H20</f>
        <v>99 RUE Vielles route de la gavottes, 13170 LES PENNES MIRABEAU</v>
      </c>
      <c r="J20" s="6" t="str">
        <f>APPRENANTS!I20</f>
        <v>g-no@hotmail.fr</v>
      </c>
      <c r="K20" s="6" t="str">
        <f>APPRENANTS!J20</f>
        <v>610724860</v>
      </c>
      <c r="L20" s="6" t="str">
        <f>APPRENANTS!K20</f>
        <v>24/06/1998</v>
      </c>
      <c r="M20" s="10" t="str">
        <f t="shared" si="1"/>
        <v>Convocation examen</v>
      </c>
    </row>
    <row r="21" ht="15.0" customHeight="1">
      <c r="A21" s="6" t="str">
        <f>APPRENANTS!A21</f>
        <v>Proforma Institut</v>
      </c>
      <c r="B21" s="6" t="str">
        <f>APPRENANTS!B21</f>
        <v>Alain PEYRON-BENOIT</v>
      </c>
      <c r="C21" s="6" t="str">
        <f>APPRENANTS!C21</f>
        <v>Moh</v>
      </c>
      <c r="D21" s="6" t="s">
        <v>44</v>
      </c>
      <c r="E21" s="6" t="s">
        <v>44</v>
      </c>
      <c r="F21" s="6" t="s">
        <v>44</v>
      </c>
      <c r="G21" s="6" t="s">
        <v>44</v>
      </c>
      <c r="H21" s="6"/>
      <c r="I21" s="6" t="str">
        <f>APPRENANTS!H21</f>
        <v>61 BD La pinède, 13400 AUBAGNE</v>
      </c>
      <c r="J21" s="6" t="str">
        <f>APPRENANTS!I21</f>
        <v>a.benayoun13@gmail.com</v>
      </c>
      <c r="K21" s="6" t="str">
        <f>APPRENANTS!J21</f>
        <v>613252707</v>
      </c>
      <c r="L21" s="6" t="str">
        <f>APPRENANTS!K21</f>
        <v>25/07/1963</v>
      </c>
      <c r="M21" s="10" t="str">
        <f t="shared" si="1"/>
        <v>CV, CIN, 6 dossiers admin, Convocation examen</v>
      </c>
    </row>
    <row r="22" ht="15.0" customHeight="1">
      <c r="A22" s="6" t="str">
        <f>APPRENANTS!A22</f>
        <v>Proforma Institut</v>
      </c>
      <c r="B22" s="6" t="str">
        <f>APPRENANTS!B22</f>
        <v>TROUSSELLE Thomas</v>
      </c>
      <c r="C22" s="6" t="str">
        <f>APPRENANTS!C22</f>
        <v>Moh</v>
      </c>
      <c r="D22" s="6" t="s">
        <v>44</v>
      </c>
      <c r="E22" s="6" t="s">
        <v>44</v>
      </c>
      <c r="F22" s="6" t="s">
        <v>44</v>
      </c>
      <c r="G22" s="6" t="s">
        <v>44</v>
      </c>
      <c r="H22" s="6"/>
      <c r="I22" s="6" t="str">
        <f>APPRENANTS!H22</f>
        <v>5 AV De la 1ere armée française, 13700 MARIGNANE</v>
      </c>
      <c r="J22" s="6" t="str">
        <f>APPRENANTS!I22</f>
        <v>Thomas.trousselle@yahoo.com</v>
      </c>
      <c r="K22" s="6" t="str">
        <f>APPRENANTS!J22</f>
        <v>669994981</v>
      </c>
      <c r="L22" s="6" t="str">
        <f>APPRENANTS!K22</f>
        <v>19/12/1997</v>
      </c>
      <c r="M22" s="10" t="str">
        <f t="shared" si="1"/>
        <v>CV, CIN, 6 dossiers admin, Convocation examen</v>
      </c>
    </row>
    <row r="23" ht="15.0" customHeight="1">
      <c r="A23" s="6" t="str">
        <f>APPRENANTS!A23</f>
        <v>Proforma Institut</v>
      </c>
      <c r="B23" s="6" t="str">
        <f>APPRENANTS!B23</f>
        <v>PREVOST Florian</v>
      </c>
      <c r="C23" s="6" t="str">
        <f>APPRENANTS!C23</f>
        <v>Moh</v>
      </c>
      <c r="D23" s="6" t="s">
        <v>44</v>
      </c>
      <c r="E23" s="6" t="s">
        <v>44</v>
      </c>
      <c r="F23" s="6" t="s">
        <v>44</v>
      </c>
      <c r="G23" s="6" t="s">
        <v>44</v>
      </c>
      <c r="H23" s="6"/>
      <c r="I23" s="6" t="str">
        <f>APPRENANTS!H23</f>
        <v>24 AV merle au ponty, 13013 MARSEILLE</v>
      </c>
      <c r="J23" s="6" t="str">
        <f>APPRENANTS!I23</f>
        <v>florianprevost0@gmail.com</v>
      </c>
      <c r="K23" s="6" t="str">
        <f>APPRENANTS!J23</f>
        <v>766054536</v>
      </c>
      <c r="L23" s="6" t="str">
        <f>APPRENANTS!K23</f>
        <v>1994-02-05</v>
      </c>
      <c r="M23" s="10" t="str">
        <f t="shared" si="1"/>
        <v>CV, CIN, 6 dossiers admin, Convocation examen</v>
      </c>
    </row>
    <row r="24" ht="15.0" customHeight="1">
      <c r="A24" s="6" t="str">
        <f>APPRENANTS!A24</f>
        <v>Proforma Institut</v>
      </c>
      <c r="B24" s="6" t="str">
        <f>APPRENANTS!B24</f>
        <v>DJIBILIAN Yoann</v>
      </c>
      <c r="C24" s="6" t="str">
        <f>APPRENANTS!C24</f>
        <v>Nedjma</v>
      </c>
      <c r="D24" s="6" t="s">
        <v>44</v>
      </c>
      <c r="E24" s="6" t="s">
        <v>44</v>
      </c>
      <c r="F24" s="6" t="s">
        <v>44</v>
      </c>
      <c r="G24" s="6" t="s">
        <v>44</v>
      </c>
      <c r="H24" s="6"/>
      <c r="I24" s="6" t="str">
        <f>APPRENANTS!H24</f>
        <v>18 PL place d'Amont, 13390 AURIOL</v>
      </c>
      <c r="J24" s="6" t="str">
        <f>APPRENANTS!I24</f>
        <v>yoann.djibilian@laposte.net</v>
      </c>
      <c r="K24" s="6" t="str">
        <f>APPRENANTS!J24</f>
        <v>645742336</v>
      </c>
      <c r="L24" s="6" t="str">
        <f>APPRENANTS!K24</f>
        <v>26/09/1999</v>
      </c>
      <c r="M24" s="10" t="str">
        <f t="shared" si="1"/>
        <v>CV, CIN, 6 dossiers admin, Convocation examen</v>
      </c>
    </row>
    <row r="25" ht="15.0" customHeight="1">
      <c r="A25" s="6" t="str">
        <f>APPRENANTS!A25</f>
        <v>Proforma Institut</v>
      </c>
      <c r="B25" s="6" t="str">
        <f>APPRENANTS!B25</f>
        <v>ROUAISSI Moncef</v>
      </c>
      <c r="C25" s="6" t="str">
        <f>APPRENANTS!C25</f>
        <v>Nedjma</v>
      </c>
      <c r="D25" s="6" t="s">
        <v>44</v>
      </c>
      <c r="E25" s="6" t="s">
        <v>44</v>
      </c>
      <c r="F25" s="6" t="s">
        <v>44</v>
      </c>
      <c r="G25" s="6" t="s">
        <v>44</v>
      </c>
      <c r="H25" s="6"/>
      <c r="I25" s="6" t="str">
        <f>APPRENANTS!H25</f>
        <v>CHE saint français, 13710 FUVEAU</v>
      </c>
      <c r="J25" s="6" t="str">
        <f>APPRENANTS!I25</f>
        <v>rouaissimoncef63@gmail.com</v>
      </c>
      <c r="K25" s="6" t="str">
        <f>APPRENANTS!J25</f>
        <v>618814668</v>
      </c>
      <c r="L25" s="6" t="str">
        <f>APPRENANTS!K25</f>
        <v>1963-04-10</v>
      </c>
      <c r="M25" s="10" t="str">
        <f t="shared" si="1"/>
        <v>CV, CIN, 6 dossiers admin, Convocation examen</v>
      </c>
    </row>
    <row r="26" ht="15.0" customHeight="1">
      <c r="A26" s="6" t="str">
        <f>APPRENANTS!A26</f>
        <v>Proforma Institut</v>
      </c>
      <c r="B26" s="6" t="str">
        <f>APPRENANTS!B26</f>
        <v>BOUTI Yazid</v>
      </c>
      <c r="C26" s="6" t="str">
        <f>APPRENANTS!C26</f>
        <v>Nedjma</v>
      </c>
      <c r="D26" s="6" t="s">
        <v>44</v>
      </c>
      <c r="E26" s="6" t="s">
        <v>44</v>
      </c>
      <c r="F26" s="6" t="s">
        <v>44</v>
      </c>
      <c r="G26" s="6" t="s">
        <v>44</v>
      </c>
      <c r="H26" s="6"/>
      <c r="I26" s="6" t="str">
        <f>APPRENANTS!H26</f>
        <v>9 BD Boulevard Victor Hugo, 13180 GIGNAC LA NERTHE</v>
      </c>
      <c r="J26" s="6" t="str">
        <f>APPRENANTS!I26</f>
        <v>yazidbouti48@gmail.com</v>
      </c>
      <c r="K26" s="6" t="str">
        <f>APPRENANTS!J26</f>
        <v>756870967</v>
      </c>
      <c r="L26" s="6" t="str">
        <f>APPRENANTS!K26</f>
        <v>19/02/1976</v>
      </c>
      <c r="M26" s="10" t="str">
        <f t="shared" si="1"/>
        <v>CV, CIN, 6 dossiers admin, Convocation examen</v>
      </c>
    </row>
    <row r="27" ht="15.0" customHeight="1">
      <c r="A27" s="6" t="str">
        <f>APPRENANTS!A27</f>
        <v>Proforma Institut</v>
      </c>
      <c r="B27" s="6" t="str">
        <f>APPRENANTS!B27</f>
        <v>KOUIDER Alexandre</v>
      </c>
      <c r="C27" s="6" t="str">
        <f>APPRENANTS!C27</f>
        <v>Sabri</v>
      </c>
      <c r="D27" s="6" t="s">
        <v>47</v>
      </c>
      <c r="E27" s="6" t="s">
        <v>47</v>
      </c>
      <c r="F27" s="6" t="s">
        <v>47</v>
      </c>
      <c r="G27" s="6" t="s">
        <v>44</v>
      </c>
      <c r="H27" s="6" t="s">
        <v>155</v>
      </c>
      <c r="I27" s="6" t="str">
        <f>APPRENANTS!H27</f>
        <v>13 IMP De la papeterie, 13005 MARSEILLE</v>
      </c>
      <c r="J27" s="6" t="str">
        <f>APPRENANTS!I27</f>
        <v>alexandre.kouider.thiers@gmail.com</v>
      </c>
      <c r="K27" s="6" t="str">
        <f>APPRENANTS!J27</f>
        <v>772350340</v>
      </c>
      <c r="L27" s="6" t="str">
        <f>APPRENANTS!K27</f>
        <v>15/05/2003</v>
      </c>
      <c r="M27" s="10" t="str">
        <f t="shared" si="1"/>
        <v>Convocation examen</v>
      </c>
    </row>
    <row r="28" ht="15.0" customHeight="1">
      <c r="A28" s="6" t="str">
        <f>APPRENANTS!A28</f>
        <v>Proforma Institut</v>
      </c>
      <c r="B28" s="6" t="str">
        <f>APPRENANTS!B28</f>
        <v>SOLAITIN Mathieu</v>
      </c>
      <c r="C28" s="6" t="str">
        <f>APPRENANTS!C28</f>
        <v>Sabri</v>
      </c>
      <c r="D28" s="6" t="s">
        <v>44</v>
      </c>
      <c r="E28" s="6" t="s">
        <v>44</v>
      </c>
      <c r="F28" s="6" t="s">
        <v>44</v>
      </c>
      <c r="G28" s="6" t="s">
        <v>44</v>
      </c>
      <c r="H28" s="6"/>
      <c r="I28" s="6" t="str">
        <f>APPRENANTS!H28</f>
        <v>AV De Font Segugne, 13127 VITROLLES</v>
      </c>
      <c r="J28" s="6" t="str">
        <f>APPRENANTS!I28</f>
        <v>msolaitin@yahoo.com</v>
      </c>
      <c r="K28" s="6" t="str">
        <f>APPRENANTS!J28</f>
        <v>649754907</v>
      </c>
      <c r="L28" s="6" t="str">
        <f>APPRENANTS!K28</f>
        <v>20/07/1993</v>
      </c>
      <c r="M28" s="10" t="str">
        <f t="shared" si="1"/>
        <v>CV, CIN, 6 dossiers admin, Convocation examen</v>
      </c>
    </row>
    <row r="29" ht="15.0" customHeight="1">
      <c r="A29" s="6" t="str">
        <f>APPRENANTS!A29</f>
        <v>Proforma Institut</v>
      </c>
      <c r="B29" s="6" t="str">
        <f>APPRENANTS!B29</f>
        <v>Alexandre Schmerber</v>
      </c>
      <c r="C29" s="6" t="str">
        <f>APPRENANTS!C29</f>
        <v>Sabri</v>
      </c>
      <c r="D29" s="6" t="s">
        <v>44</v>
      </c>
      <c r="E29" s="6" t="s">
        <v>44</v>
      </c>
      <c r="F29" s="6" t="s">
        <v>44</v>
      </c>
      <c r="G29" s="6" t="s">
        <v>44</v>
      </c>
      <c r="H29" s="6"/>
      <c r="I29" s="6" t="str">
        <f>APPRENANTS!H29</f>
        <v>24 MTE De le belle france, 13015 MARSEILLE</v>
      </c>
      <c r="J29" s="6" t="str">
        <f>APPRENANTS!I29</f>
        <v>alexandre.schmerber@hotmail.com</v>
      </c>
      <c r="K29" s="6" t="str">
        <f>APPRENANTS!J29</f>
        <v>699574950</v>
      </c>
      <c r="L29" s="6" t="str">
        <f>APPRENANTS!K29</f>
        <v>24/05/1993</v>
      </c>
      <c r="M29" s="10" t="str">
        <f t="shared" si="1"/>
        <v>CV, CIN, 6 dossiers admin, Convocation examen</v>
      </c>
    </row>
    <row r="30" ht="15.0" customHeight="1">
      <c r="A30" s="6" t="str">
        <f>APPRENANTS!A30</f>
        <v>Proforma Institut</v>
      </c>
      <c r="B30" s="6" t="str">
        <f>APPRENANTS!B30</f>
        <v>CHAFIL Amine</v>
      </c>
      <c r="C30" s="6" t="str">
        <f>APPRENANTS!C30</f>
        <v/>
      </c>
      <c r="D30" s="6" t="s">
        <v>44</v>
      </c>
      <c r="E30" s="6" t="s">
        <v>44</v>
      </c>
      <c r="F30" s="6" t="s">
        <v>44</v>
      </c>
      <c r="G30" s="6" t="s">
        <v>44</v>
      </c>
      <c r="H30" s="6"/>
      <c r="I30" s="6" t="str">
        <f>APPRENANTS!H30</f>
        <v>23 RUE Professeur marcel Arnaud, 13013 MARSEILLE</v>
      </c>
      <c r="J30" s="6" t="str">
        <f>APPRENANTS!I30</f>
        <v>amine_du_13010@hotmail.fr</v>
      </c>
      <c r="K30" s="6" t="str">
        <f>APPRENANTS!J30</f>
        <v>624685745</v>
      </c>
      <c r="L30" s="6" t="str">
        <f>APPRENANTS!K30</f>
        <v>1990-11-07</v>
      </c>
      <c r="M30" s="10" t="str">
        <f t="shared" si="1"/>
        <v>CV, CIN, 6 dossiers admin, Convocation examen</v>
      </c>
    </row>
    <row r="31" ht="15.0" customHeight="1">
      <c r="A31" s="6" t="str">
        <f>APPRENANTS!A31</f>
        <v>Proforma Institut</v>
      </c>
      <c r="B31" s="6" t="str">
        <f>APPRENANTS!B31</f>
        <v>MARIOTTI Regis</v>
      </c>
      <c r="C31" s="6" t="str">
        <f>APPRENANTS!C31</f>
        <v>Sabri</v>
      </c>
      <c r="D31" s="6" t="s">
        <v>44</v>
      </c>
      <c r="E31" s="6" t="s">
        <v>44</v>
      </c>
      <c r="F31" s="6" t="s">
        <v>44</v>
      </c>
      <c r="G31" s="6" t="s">
        <v>44</v>
      </c>
      <c r="H31" s="6"/>
      <c r="I31" s="6" t="str">
        <f>APPRENANTS!H31</f>
        <v>11 TRA de la dominique, 13011 MARSEILLE</v>
      </c>
      <c r="J31" s="6" t="str">
        <f>APPRENANTS!I31</f>
        <v>regismariotti@hotmail.fr</v>
      </c>
      <c r="K31" s="6" t="str">
        <f>APPRENANTS!J31</f>
        <v>612877388</v>
      </c>
      <c r="L31" s="6" t="str">
        <f>APPRENANTS!K31</f>
        <v>27/08/1977</v>
      </c>
      <c r="M31" s="10" t="str">
        <f t="shared" si="1"/>
        <v>CV, CIN, 6 dossiers admin, Convocation examen</v>
      </c>
    </row>
    <row r="32" ht="15.0" customHeight="1">
      <c r="A32" s="6" t="str">
        <f>APPRENANTS!A32</f>
        <v>Proforma Institut</v>
      </c>
      <c r="B32" s="6" t="str">
        <f>APPRENANTS!B32</f>
        <v>GAUTHEROT Pascal</v>
      </c>
      <c r="C32" s="6" t="str">
        <f>APPRENANTS!C32</f>
        <v>GRAS</v>
      </c>
      <c r="D32" s="6" t="s">
        <v>44</v>
      </c>
      <c r="E32" s="6" t="s">
        <v>44</v>
      </c>
      <c r="F32" s="6" t="s">
        <v>44</v>
      </c>
      <c r="G32" s="6" t="s">
        <v>44</v>
      </c>
      <c r="H32" s="6"/>
      <c r="I32" s="6" t="str">
        <f>APPRENANTS!H32</f>
        <v>192 CHE du tour de l'étang, 13800 ISTRES</v>
      </c>
      <c r="J32" s="6" t="str">
        <f>APPRENANTS!I32</f>
        <v>pascal-gautherot@wanadoo.fr</v>
      </c>
      <c r="K32" s="6" t="str">
        <f>APPRENANTS!J32</f>
        <v>689407179</v>
      </c>
      <c r="L32" s="6" t="str">
        <f>APPRENANTS!K32</f>
        <v>22/04/1966</v>
      </c>
      <c r="M32" s="10" t="str">
        <f t="shared" si="1"/>
        <v>CV, CIN, 6 dossiers admin, Convocation examen</v>
      </c>
    </row>
    <row r="33" ht="15.0" customHeight="1">
      <c r="A33" s="6" t="str">
        <f>APPRENANTS!A33</f>
        <v>Proforma Institut</v>
      </c>
      <c r="B33" s="6" t="str">
        <f>APPRENANTS!B33</f>
        <v>GAUTHEROT Pascal</v>
      </c>
      <c r="C33" s="6" t="str">
        <f>APPRENANTS!C33</f>
        <v>GRAS</v>
      </c>
      <c r="D33" s="6" t="s">
        <v>44</v>
      </c>
      <c r="E33" s="6" t="s">
        <v>44</v>
      </c>
      <c r="F33" s="6" t="s">
        <v>44</v>
      </c>
      <c r="G33" s="6" t="s">
        <v>44</v>
      </c>
      <c r="H33" s="6"/>
      <c r="I33" s="6" t="str">
        <f>APPRENANTS!H33</f>
        <v>192 CHE du tour de l'étang, 13800 ISTRES</v>
      </c>
      <c r="J33" s="6" t="str">
        <f>APPRENANTS!I33</f>
        <v>pascal-gautherot@wanadoo.fr</v>
      </c>
      <c r="K33" s="6" t="str">
        <f>APPRENANTS!J33</f>
        <v>689407179</v>
      </c>
      <c r="L33" s="6" t="str">
        <f>APPRENANTS!K33</f>
        <v>22/04/1966</v>
      </c>
      <c r="M33" s="10" t="str">
        <f t="shared" si="1"/>
        <v>CV, CIN, 6 dossiers admin, Convocation examen</v>
      </c>
    </row>
    <row r="34" ht="15.0" customHeight="1">
      <c r="A34" s="6" t="str">
        <f>APPRENANTS!A34</f>
        <v>Proforma Institut</v>
      </c>
      <c r="B34" s="6" t="str">
        <f>APPRENANTS!B34</f>
        <v>GAUTHEROT Pascal</v>
      </c>
      <c r="C34" s="6" t="str">
        <f>APPRENANTS!C34</f>
        <v>GRAS</v>
      </c>
      <c r="D34" s="6" t="s">
        <v>44</v>
      </c>
      <c r="E34" s="6" t="s">
        <v>44</v>
      </c>
      <c r="F34" s="6" t="s">
        <v>44</v>
      </c>
      <c r="G34" s="6" t="s">
        <v>44</v>
      </c>
      <c r="H34" s="6"/>
      <c r="I34" s="6" t="str">
        <f>APPRENANTS!H34</f>
        <v>192 CHE du tour de l'étang, 13800 ISTRES</v>
      </c>
      <c r="J34" s="6" t="str">
        <f>APPRENANTS!I34</f>
        <v>pascal-gautherot@wanadoo.fr</v>
      </c>
      <c r="K34" s="6" t="str">
        <f>APPRENANTS!J34</f>
        <v>689407179</v>
      </c>
      <c r="L34" s="6" t="str">
        <f>APPRENANTS!K34</f>
        <v>22/04/1966</v>
      </c>
      <c r="M34" s="10" t="str">
        <f t="shared" si="1"/>
        <v>CV, CIN, 6 dossiers admin, Convocation examen</v>
      </c>
    </row>
    <row r="35" ht="15.0" customHeight="1">
      <c r="A35" s="6" t="str">
        <f>APPRENANTS!A35</f>
        <v>Proforma Institut</v>
      </c>
      <c r="B35" s="6" t="str">
        <f>APPRENANTS!B35</f>
        <v>VIRAPHONG Thuy</v>
      </c>
      <c r="C35" s="6" t="str">
        <f>APPRENANTS!C35</f>
        <v>jules</v>
      </c>
      <c r="D35" s="6" t="s">
        <v>44</v>
      </c>
      <c r="E35" s="6" t="s">
        <v>44</v>
      </c>
      <c r="F35" s="6" t="s">
        <v>44</v>
      </c>
      <c r="G35" s="6" t="s">
        <v>44</v>
      </c>
      <c r="H35" s="6"/>
      <c r="I35" s="6" t="str">
        <f>APPRENANTS!H35</f>
        <v>81 CHE De figuerolles, 13180 GIGNAC LA NERTHE</v>
      </c>
      <c r="J35" s="6" t="str">
        <f>APPRENANTS!I35</f>
        <v>johana131@gmail.com</v>
      </c>
      <c r="K35" s="6" t="str">
        <f>APPRENANTS!J35</f>
        <v>769874867</v>
      </c>
      <c r="L35" s="6" t="str">
        <f>APPRENANTS!K35</f>
        <v>15/10/1989</v>
      </c>
      <c r="M35" s="10" t="str">
        <f t="shared" si="1"/>
        <v>CV, CIN, 6 dossiers admin, Convocation examen</v>
      </c>
    </row>
    <row r="36" ht="15.0" customHeight="1">
      <c r="A36" s="6" t="str">
        <f>APPRENANTS!A36</f>
        <v>Proforma Institut</v>
      </c>
      <c r="B36" s="6" t="str">
        <f>APPRENANTS!B36</f>
        <v>POGGI Eric</v>
      </c>
      <c r="C36" s="6" t="str">
        <f>APPRENANTS!C36</f>
        <v>Sabri</v>
      </c>
      <c r="D36" s="6" t="s">
        <v>44</v>
      </c>
      <c r="E36" s="6" t="s">
        <v>44</v>
      </c>
      <c r="F36" s="6" t="s">
        <v>44</v>
      </c>
      <c r="G36" s="6" t="s">
        <v>44</v>
      </c>
      <c r="H36" s="6"/>
      <c r="I36" s="6" t="str">
        <f>APPRENANTS!H36</f>
        <v/>
      </c>
      <c r="J36" s="6" t="str">
        <f>APPRENANTS!I36</f>
        <v/>
      </c>
      <c r="K36" s="6" t="str">
        <f>APPRENANTS!J36</f>
        <v/>
      </c>
      <c r="L36" s="6" t="str">
        <f>APPRENANTS!K36</f>
        <v/>
      </c>
      <c r="M36" s="10" t="str">
        <f t="shared" si="1"/>
        <v>CV, CIN, 6 dossiers admin, Convocation examen</v>
      </c>
    </row>
    <row r="37" ht="15.0" customHeight="1">
      <c r="A37" s="6" t="str">
        <f>APPRENANTS!A37</f>
        <v>Proforma Institut</v>
      </c>
      <c r="B37" s="6" t="str">
        <f>APPRENANTS!B37</f>
        <v>POGGI Eric</v>
      </c>
      <c r="C37" s="6" t="str">
        <f>APPRENANTS!C37</f>
        <v>Sabri</v>
      </c>
      <c r="D37" s="6" t="s">
        <v>44</v>
      </c>
      <c r="E37" s="6" t="s">
        <v>44</v>
      </c>
      <c r="F37" s="6" t="s">
        <v>44</v>
      </c>
      <c r="G37" s="6" t="s">
        <v>44</v>
      </c>
      <c r="H37" s="6"/>
      <c r="I37" s="6" t="str">
        <f>APPRENANTS!H37</f>
        <v/>
      </c>
      <c r="J37" s="6" t="str">
        <f>APPRENANTS!I37</f>
        <v/>
      </c>
      <c r="K37" s="6" t="str">
        <f>APPRENANTS!J37</f>
        <v/>
      </c>
      <c r="L37" s="6" t="str">
        <f>APPRENANTS!K37</f>
        <v/>
      </c>
      <c r="M37" s="10" t="str">
        <f t="shared" si="1"/>
        <v>CV, CIN, 6 dossiers admin, Convocation examen</v>
      </c>
    </row>
    <row r="38" ht="15.0" customHeight="1">
      <c r="A38" s="6" t="str">
        <f>APPRENANTS!A38</f>
        <v>Proforma Institut</v>
      </c>
      <c r="B38" s="6" t="str">
        <f>APPRENANTS!B38</f>
        <v>MENDY Jean</v>
      </c>
      <c r="C38" s="6" t="str">
        <f>APPRENANTS!C38</f>
        <v>jean</v>
      </c>
      <c r="D38" s="6" t="s">
        <v>44</v>
      </c>
      <c r="E38" s="6" t="s">
        <v>44</v>
      </c>
      <c r="F38" s="6" t="s">
        <v>44</v>
      </c>
      <c r="G38" s="6" t="s">
        <v>44</v>
      </c>
      <c r="H38" s="6"/>
      <c r="I38" s="6" t="str">
        <f>APPRENANTS!H38</f>
        <v>11 CDEP Chemin des broutieres, 13015 MARSEILLE</v>
      </c>
      <c r="J38" s="6" t="str">
        <f>APPRENANTS!I38</f>
        <v>mendyjean1207@gmail.com</v>
      </c>
      <c r="K38" s="6" t="str">
        <f>APPRENANTS!J38</f>
        <v>784862602</v>
      </c>
      <c r="L38" s="6" t="str">
        <f>APPRENANTS!K38</f>
        <v>1987-12-07</v>
      </c>
      <c r="M38" s="10" t="str">
        <f t="shared" si="1"/>
        <v>CV, CIN, 6 dossiers admin, Convocation examen</v>
      </c>
    </row>
    <row r="39" ht="15.0" customHeight="1">
      <c r="A39" s="6" t="str">
        <f>APPRENANTS!A39</f>
        <v>Proforma Institut</v>
      </c>
      <c r="B39" s="6" t="str">
        <f>APPRENANTS!B39</f>
        <v>BOUASRIA Najwa</v>
      </c>
      <c r="C39" s="6" t="str">
        <f>APPRENANTS!C39</f>
        <v>frere karim</v>
      </c>
      <c r="D39" s="6" t="s">
        <v>44</v>
      </c>
      <c r="E39" s="6" t="s">
        <v>44</v>
      </c>
      <c r="F39" s="6" t="s">
        <v>44</v>
      </c>
      <c r="G39" s="6" t="s">
        <v>44</v>
      </c>
      <c r="H39" s="6"/>
      <c r="I39" s="6" t="str">
        <f>APPRENANTS!H39</f>
        <v>AV Marius Ruinat, 13700 MARIGNANE</v>
      </c>
      <c r="J39" s="6" t="str">
        <f>APPRENANTS!I39</f>
        <v>najwa.bouasria@gmail.com</v>
      </c>
      <c r="K39" s="6" t="str">
        <f>APPRENANTS!J39</f>
        <v>761272644</v>
      </c>
      <c r="L39" s="6" t="str">
        <f>APPRENANTS!K39</f>
        <v>1997-06-09</v>
      </c>
      <c r="M39" s="10" t="str">
        <f t="shared" si="1"/>
        <v>CV, CIN, 6 dossiers admin, Convocation examen</v>
      </c>
    </row>
    <row r="40" ht="15.0" customHeight="1">
      <c r="A40" s="6" t="str">
        <f>APPRENANTS!A40</f>
        <v>Proforma Institut</v>
      </c>
      <c r="B40" s="6" t="str">
        <f>APPRENANTS!B40</f>
        <v>JAVAZZO Jerome</v>
      </c>
      <c r="C40" s="6" t="str">
        <f>APPRENANTS!C40</f>
        <v>hak</v>
      </c>
      <c r="D40" s="6" t="s">
        <v>44</v>
      </c>
      <c r="E40" s="6" t="s">
        <v>44</v>
      </c>
      <c r="F40" s="6" t="s">
        <v>44</v>
      </c>
      <c r="G40" s="6" t="s">
        <v>44</v>
      </c>
      <c r="H40" s="6"/>
      <c r="I40" s="6" t="str">
        <f>APPRENANTS!H40</f>
        <v/>
      </c>
      <c r="J40" s="6" t="str">
        <f>APPRENANTS!I40</f>
        <v/>
      </c>
      <c r="K40" s="6" t="str">
        <f>APPRENANTS!J40</f>
        <v/>
      </c>
      <c r="L40" s="6" t="str">
        <f>APPRENANTS!K40</f>
        <v/>
      </c>
      <c r="M40" s="10" t="str">
        <f t="shared" si="1"/>
        <v>CV, CIN, 6 dossiers admin, Convocation examen</v>
      </c>
    </row>
    <row r="41" ht="15.0" customHeight="1">
      <c r="A41" s="6" t="str">
        <f>APPRENANTS!A41</f>
        <v>Proforma Institut</v>
      </c>
      <c r="B41" s="6" t="str">
        <f>APPRENANTS!B41</f>
        <v>JAVAZZO Jerome</v>
      </c>
      <c r="C41" s="6" t="str">
        <f>APPRENANTS!C41</f>
        <v>hak</v>
      </c>
      <c r="D41" s="6" t="s">
        <v>44</v>
      </c>
      <c r="E41" s="6" t="s">
        <v>44</v>
      </c>
      <c r="F41" s="6" t="s">
        <v>44</v>
      </c>
      <c r="G41" s="6" t="s">
        <v>44</v>
      </c>
      <c r="H41" s="6"/>
      <c r="I41" s="6" t="str">
        <f>APPRENANTS!H41</f>
        <v/>
      </c>
      <c r="J41" s="6" t="str">
        <f>APPRENANTS!I41</f>
        <v/>
      </c>
      <c r="K41" s="6" t="str">
        <f>APPRENANTS!J41</f>
        <v/>
      </c>
      <c r="L41" s="6" t="str">
        <f>APPRENANTS!K41</f>
        <v/>
      </c>
      <c r="M41" s="10" t="str">
        <f t="shared" si="1"/>
        <v>CV, CIN, 6 dossiers admin, Convocation examen</v>
      </c>
    </row>
    <row r="42" ht="15.0" customHeight="1">
      <c r="A42" s="6" t="str">
        <f>APPRENANTS!A42</f>
        <v>Proforma Institut</v>
      </c>
      <c r="B42" s="6" t="str">
        <f>APPRENANTS!B42</f>
        <v>KECHIOUCHE Younes</v>
      </c>
      <c r="C42" s="6" t="str">
        <f>APPRENANTS!C42</f>
        <v>hak</v>
      </c>
      <c r="D42" s="6" t="s">
        <v>44</v>
      </c>
      <c r="E42" s="6" t="s">
        <v>44</v>
      </c>
      <c r="F42" s="6" t="s">
        <v>44</v>
      </c>
      <c r="G42" s="6" t="s">
        <v>44</v>
      </c>
      <c r="H42" s="6"/>
      <c r="I42" s="6" t="str">
        <f>APPRENANTS!H42</f>
        <v/>
      </c>
      <c r="J42" s="6" t="str">
        <f>APPRENANTS!I42</f>
        <v/>
      </c>
      <c r="K42" s="6" t="str">
        <f>APPRENANTS!J42</f>
        <v/>
      </c>
      <c r="L42" s="6" t="str">
        <f>APPRENANTS!K42</f>
        <v/>
      </c>
      <c r="M42" s="10" t="str">
        <f t="shared" si="1"/>
        <v>CV, CIN, 6 dossiers admin, Convocation examen</v>
      </c>
    </row>
    <row r="43" ht="15.0" customHeight="1">
      <c r="A43" s="6" t="str">
        <f>APPRENANTS!A43</f>
        <v>Proforma Institut</v>
      </c>
      <c r="B43" s="6" t="str">
        <f>APPRENANTS!B43</f>
        <v>LAHRAOUI Amir</v>
      </c>
      <c r="C43" s="6" t="str">
        <f>APPRENANTS!C43</f>
        <v>GRAS</v>
      </c>
      <c r="D43" s="6" t="s">
        <v>44</v>
      </c>
      <c r="E43" s="6" t="s">
        <v>44</v>
      </c>
      <c r="F43" s="6" t="s">
        <v>44</v>
      </c>
      <c r="G43" s="6" t="s">
        <v>44</v>
      </c>
      <c r="H43" s="6"/>
      <c r="I43" s="6" t="str">
        <f>APPRENANTS!H43</f>
        <v/>
      </c>
      <c r="J43" s="6" t="str">
        <f>APPRENANTS!I43</f>
        <v/>
      </c>
      <c r="K43" s="6" t="str">
        <f>APPRENANTS!J43</f>
        <v/>
      </c>
      <c r="L43" s="6" t="str">
        <f>APPRENANTS!K43</f>
        <v/>
      </c>
      <c r="M43" s="10" t="str">
        <f t="shared" si="1"/>
        <v>CV, CIN, 6 dossiers admin, Convocation examen</v>
      </c>
    </row>
    <row r="44" ht="15.0" customHeight="1">
      <c r="A44" s="6" t="str">
        <f>APPRENANTS!A44</f>
        <v>Proforma Institut</v>
      </c>
      <c r="B44" s="6" t="str">
        <f>APPRENANTS!B44</f>
        <v>LAHRAOUI Amir</v>
      </c>
      <c r="C44" s="6" t="str">
        <f>APPRENANTS!C44</f>
        <v>GRAS</v>
      </c>
      <c r="D44" s="6" t="s">
        <v>44</v>
      </c>
      <c r="E44" s="6" t="s">
        <v>44</v>
      </c>
      <c r="F44" s="6" t="s">
        <v>44</v>
      </c>
      <c r="G44" s="6" t="s">
        <v>44</v>
      </c>
      <c r="H44" s="6"/>
      <c r="I44" s="6" t="str">
        <f>APPRENANTS!H44</f>
        <v/>
      </c>
      <c r="J44" s="6" t="str">
        <f>APPRENANTS!I44</f>
        <v/>
      </c>
      <c r="K44" s="6" t="str">
        <f>APPRENANTS!J44</f>
        <v/>
      </c>
      <c r="L44" s="6" t="str">
        <f>APPRENANTS!K44</f>
        <v/>
      </c>
      <c r="M44" s="10" t="str">
        <f t="shared" si="1"/>
        <v>CV, CIN, 6 dossiers admin, Convocation examen</v>
      </c>
    </row>
    <row r="45" ht="15.0" customHeight="1">
      <c r="A45" s="6" t="str">
        <f>APPRENANTS!A45</f>
        <v>Proforma Institut</v>
      </c>
      <c r="B45" s="6" t="str">
        <f>APPRENANTS!B45</f>
        <v>LAHRAOUI Amir</v>
      </c>
      <c r="C45" s="6" t="str">
        <f>APPRENANTS!C45</f>
        <v>GRAS</v>
      </c>
      <c r="D45" s="6" t="s">
        <v>44</v>
      </c>
      <c r="E45" s="6" t="s">
        <v>44</v>
      </c>
      <c r="F45" s="6" t="s">
        <v>44</v>
      </c>
      <c r="G45" s="6" t="s">
        <v>44</v>
      </c>
      <c r="H45" s="6"/>
      <c r="I45" s="6" t="str">
        <f>APPRENANTS!H45</f>
        <v/>
      </c>
      <c r="J45" s="6" t="str">
        <f>APPRENANTS!I45</f>
        <v/>
      </c>
      <c r="K45" s="6" t="str">
        <f>APPRENANTS!J45</f>
        <v/>
      </c>
      <c r="L45" s="6" t="str">
        <f>APPRENANTS!K45</f>
        <v/>
      </c>
      <c r="M45" s="10" t="str">
        <f t="shared" si="1"/>
        <v>CV, CIN, 6 dossiers admin, Convocation examen</v>
      </c>
    </row>
    <row r="46" ht="15.0" customHeight="1">
      <c r="A46" s="6" t="str">
        <f>APPRENANTS!A46</f>
        <v>Proforma Institut</v>
      </c>
      <c r="B46" s="6" t="str">
        <f>APPRENANTS!B46</f>
        <v>blot valerie</v>
      </c>
      <c r="C46" s="6" t="str">
        <f>APPRENANTS!C46</f>
        <v>Djody</v>
      </c>
      <c r="D46" s="6" t="s">
        <v>44</v>
      </c>
      <c r="E46" s="6" t="s">
        <v>44</v>
      </c>
      <c r="F46" s="6" t="s">
        <v>44</v>
      </c>
      <c r="G46" s="6" t="s">
        <v>44</v>
      </c>
      <c r="H46" s="6"/>
      <c r="I46" s="6" t="str">
        <f>APPRENANTS!H46</f>
        <v/>
      </c>
      <c r="J46" s="6" t="str">
        <f>APPRENANTS!I46</f>
        <v/>
      </c>
      <c r="K46" s="6" t="str">
        <f>APPRENANTS!J46</f>
        <v/>
      </c>
      <c r="L46" s="6" t="str">
        <f>APPRENANTS!K46</f>
        <v/>
      </c>
      <c r="M46" s="10" t="str">
        <f t="shared" si="1"/>
        <v>CV, CIN, 6 dossiers admin, Convocation examen</v>
      </c>
    </row>
    <row r="47" ht="15.0" customHeight="1">
      <c r="A47" s="6" t="str">
        <f>APPRENANTS!A47</f>
        <v>Proforma Institut</v>
      </c>
      <c r="B47" s="6" t="str">
        <f>APPRENANTS!B47</f>
        <v>CARRETTA Capucine</v>
      </c>
      <c r="C47" s="6" t="str">
        <f>APPRENANTS!C47</f>
        <v>jules</v>
      </c>
      <c r="D47" s="6" t="s">
        <v>44</v>
      </c>
      <c r="E47" s="6" t="s">
        <v>44</v>
      </c>
      <c r="F47" s="6" t="s">
        <v>44</v>
      </c>
      <c r="G47" s="6" t="s">
        <v>44</v>
      </c>
      <c r="H47" s="6"/>
      <c r="I47" s="6" t="str">
        <f>APPRENANTS!H47</f>
        <v/>
      </c>
      <c r="J47" s="6" t="str">
        <f>APPRENANTS!I47</f>
        <v/>
      </c>
      <c r="K47" s="6" t="str">
        <f>APPRENANTS!J47</f>
        <v/>
      </c>
      <c r="L47" s="6" t="str">
        <f>APPRENANTS!K47</f>
        <v/>
      </c>
      <c r="M47" s="10" t="str">
        <f t="shared" si="1"/>
        <v>CV, CIN, 6 dossiers admin, Convocation examen</v>
      </c>
    </row>
    <row r="48" ht="15.0" customHeight="1">
      <c r="A48" s="6" t="str">
        <f>APPRENANTS!A48</f>
        <v>Proforma Institut</v>
      </c>
      <c r="B48" s="6" t="str">
        <f>APPRENANTS!B48</f>
        <v>OUAHAB Yanis</v>
      </c>
      <c r="C48" s="6" t="str">
        <f>APPRENANTS!C48</f>
        <v>priscot</v>
      </c>
      <c r="D48" s="6" t="s">
        <v>44</v>
      </c>
      <c r="E48" s="6" t="s">
        <v>44</v>
      </c>
      <c r="F48" s="6" t="s">
        <v>44</v>
      </c>
      <c r="G48" s="6" t="s">
        <v>44</v>
      </c>
      <c r="H48" s="6"/>
      <c r="I48" s="6" t="str">
        <f>APPRENANTS!H48</f>
        <v/>
      </c>
      <c r="J48" s="6" t="str">
        <f>APPRENANTS!I48</f>
        <v/>
      </c>
      <c r="K48" s="6" t="str">
        <f>APPRENANTS!J48</f>
        <v/>
      </c>
      <c r="L48" s="6" t="str">
        <f>APPRENANTS!K48</f>
        <v/>
      </c>
      <c r="M48" s="10" t="str">
        <f t="shared" si="1"/>
        <v>CV, CIN, 6 dossiers admin, Convocation examen</v>
      </c>
    </row>
    <row r="49" ht="15.0" customHeight="1">
      <c r="A49" s="6" t="str">
        <f>APPRENANTS!A49</f>
        <v>Proforma Institut</v>
      </c>
      <c r="B49" s="6" t="str">
        <f>APPRENANTS!B49</f>
        <v>OUAHAB Yanis</v>
      </c>
      <c r="C49" s="6" t="str">
        <f>APPRENANTS!C49</f>
        <v>priscot</v>
      </c>
      <c r="D49" s="6" t="s">
        <v>44</v>
      </c>
      <c r="E49" s="6" t="s">
        <v>44</v>
      </c>
      <c r="F49" s="6" t="s">
        <v>44</v>
      </c>
      <c r="G49" s="6" t="s">
        <v>44</v>
      </c>
      <c r="H49" s="6"/>
      <c r="I49" s="6" t="str">
        <f>APPRENANTS!H49</f>
        <v/>
      </c>
      <c r="J49" s="6" t="str">
        <f>APPRENANTS!I49</f>
        <v/>
      </c>
      <c r="K49" s="6" t="str">
        <f>APPRENANTS!J49</f>
        <v/>
      </c>
      <c r="L49" s="6" t="str">
        <f>APPRENANTS!K49</f>
        <v/>
      </c>
      <c r="M49" s="10" t="str">
        <f t="shared" si="1"/>
        <v>CV, CIN, 6 dossiers admin, Convocation examen</v>
      </c>
    </row>
    <row r="50" ht="15.0" customHeight="1">
      <c r="A50" s="6" t="str">
        <f>APPRENANTS!A50</f>
        <v>Proforma Institut</v>
      </c>
      <c r="B50" s="6" t="str">
        <f>APPRENANTS!B50</f>
        <v>DJIBILIAN Yoann</v>
      </c>
      <c r="C50" s="6" t="str">
        <f>APPRENANTS!C50</f>
        <v>Nedjma</v>
      </c>
      <c r="D50" s="6" t="s">
        <v>44</v>
      </c>
      <c r="E50" s="6" t="s">
        <v>44</v>
      </c>
      <c r="F50" s="6" t="s">
        <v>44</v>
      </c>
      <c r="G50" s="6" t="s">
        <v>44</v>
      </c>
      <c r="H50" s="6"/>
      <c r="I50" s="6" t="str">
        <f>APPRENANTS!H50</f>
        <v>18 PL place d'Amont, 13390 AURIOL</v>
      </c>
      <c r="J50" s="6" t="str">
        <f>APPRENANTS!I50</f>
        <v>yoann.djibilian@laposte.net</v>
      </c>
      <c r="K50" s="6" t="str">
        <f>APPRENANTS!J50</f>
        <v>645742336</v>
      </c>
      <c r="L50" s="6" t="str">
        <f>APPRENANTS!K50</f>
        <v>26/09/1999</v>
      </c>
      <c r="M50" s="10" t="str">
        <f t="shared" si="1"/>
        <v>CV, CIN, 6 dossiers admin, Convocation examen</v>
      </c>
    </row>
    <row r="51" ht="15.0" customHeight="1">
      <c r="A51" s="6" t="str">
        <f>APPRENANTS!A51</f>
        <v>Proforma Institut</v>
      </c>
      <c r="B51" s="6" t="str">
        <f>APPRENANTS!B51</f>
        <v>DJIBILIAN Yoann</v>
      </c>
      <c r="C51" s="6" t="str">
        <f>APPRENANTS!C51</f>
        <v>Nedjma</v>
      </c>
      <c r="D51" s="6" t="s">
        <v>44</v>
      </c>
      <c r="E51" s="6" t="s">
        <v>44</v>
      </c>
      <c r="F51" s="6" t="s">
        <v>44</v>
      </c>
      <c r="G51" s="6" t="s">
        <v>44</v>
      </c>
      <c r="H51" s="6"/>
      <c r="I51" s="6" t="str">
        <f>APPRENANTS!H51</f>
        <v>18 PL place d'Amont, 13390 AURIOL</v>
      </c>
      <c r="J51" s="6" t="str">
        <f>APPRENANTS!I51</f>
        <v>yoann.djibilian@laposte.net</v>
      </c>
      <c r="K51" s="6" t="str">
        <f>APPRENANTS!J51</f>
        <v>645742336</v>
      </c>
      <c r="L51" s="6" t="str">
        <f>APPRENANTS!K51</f>
        <v>26/09/1999</v>
      </c>
      <c r="M51" s="10" t="str">
        <f t="shared" si="1"/>
        <v>CV, CIN, 6 dossiers admin, Convocation examen</v>
      </c>
    </row>
    <row r="52" ht="15.0" customHeight="1">
      <c r="A52" s="6" t="str">
        <f>APPRENANTS!A52</f>
        <v>Proforma Institut</v>
      </c>
      <c r="B52" s="6" t="str">
        <f>APPRENANTS!B52</f>
        <v>FRANGIAN Vazguen</v>
      </c>
      <c r="C52" s="6" t="str">
        <f>APPRENANTS!C52</f>
        <v>GRAS</v>
      </c>
      <c r="D52" s="6" t="s">
        <v>44</v>
      </c>
      <c r="E52" s="6" t="s">
        <v>44</v>
      </c>
      <c r="F52" s="6" t="s">
        <v>44</v>
      </c>
      <c r="G52" s="6" t="s">
        <v>44</v>
      </c>
      <c r="H52" s="6"/>
      <c r="I52" s="6" t="str">
        <f>APPRENANTS!H52</f>
        <v/>
      </c>
      <c r="J52" s="6" t="str">
        <f>APPRENANTS!I52</f>
        <v/>
      </c>
      <c r="K52" s="6" t="str">
        <f>APPRENANTS!J52</f>
        <v/>
      </c>
      <c r="L52" s="6" t="str">
        <f>APPRENANTS!K52</f>
        <v/>
      </c>
      <c r="M52" s="10" t="str">
        <f t="shared" si="1"/>
        <v>CV, CIN, 6 dossiers admin, Convocation examen</v>
      </c>
    </row>
    <row r="53" ht="15.0" customHeight="1">
      <c r="A53" s="6" t="str">
        <f>APPRENANTS!A53</f>
        <v>Proforma Institut</v>
      </c>
      <c r="B53" s="6" t="str">
        <f>APPRENANTS!B53</f>
        <v>FRANGIAN Vazguen</v>
      </c>
      <c r="C53" s="6" t="str">
        <f>APPRENANTS!C53</f>
        <v>GRAS</v>
      </c>
      <c r="D53" s="6" t="s">
        <v>44</v>
      </c>
      <c r="E53" s="6" t="s">
        <v>44</v>
      </c>
      <c r="F53" s="6" t="s">
        <v>44</v>
      </c>
      <c r="G53" s="6" t="s">
        <v>44</v>
      </c>
      <c r="H53" s="6"/>
      <c r="I53" s="6" t="str">
        <f>APPRENANTS!H53</f>
        <v/>
      </c>
      <c r="J53" s="6" t="str">
        <f>APPRENANTS!I53</f>
        <v/>
      </c>
      <c r="K53" s="6" t="str">
        <f>APPRENANTS!J53</f>
        <v/>
      </c>
      <c r="L53" s="6" t="str">
        <f>APPRENANTS!K53</f>
        <v/>
      </c>
      <c r="M53" s="10" t="str">
        <f t="shared" si="1"/>
        <v>CV, CIN, 6 dossiers admin, Convocation examen</v>
      </c>
    </row>
    <row r="54" ht="15.0" customHeight="1">
      <c r="A54" s="6" t="str">
        <f>APPRENANTS!A54</f>
        <v>Proforma Institut</v>
      </c>
      <c r="B54" s="6" t="str">
        <f>APPRENANTS!B54</f>
        <v>FRANGIAN Vazguen</v>
      </c>
      <c r="C54" s="6" t="str">
        <f>APPRENANTS!C54</f>
        <v>GRAS</v>
      </c>
      <c r="D54" s="6" t="s">
        <v>44</v>
      </c>
      <c r="E54" s="6" t="s">
        <v>44</v>
      </c>
      <c r="F54" s="6" t="s">
        <v>44</v>
      </c>
      <c r="G54" s="6" t="s">
        <v>44</v>
      </c>
      <c r="H54" s="6"/>
      <c r="I54" s="6" t="str">
        <f>APPRENANTS!H54</f>
        <v/>
      </c>
      <c r="J54" s="6" t="str">
        <f>APPRENANTS!I54</f>
        <v/>
      </c>
      <c r="K54" s="6" t="str">
        <f>APPRENANTS!J54</f>
        <v/>
      </c>
      <c r="L54" s="6" t="str">
        <f>APPRENANTS!K54</f>
        <v/>
      </c>
      <c r="M54" s="10" t="str">
        <f t="shared" si="1"/>
        <v>CV, CIN, 6 dossiers admin, Convocation examen</v>
      </c>
    </row>
    <row r="55" ht="15.0" customHeight="1">
      <c r="A55" s="6" t="str">
        <f>APPRENANTS!A55</f>
        <v>Proforma Institut</v>
      </c>
      <c r="B55" s="6" t="str">
        <f>APPRENANTS!B55</f>
        <v>MELIKSETIAN Suren</v>
      </c>
      <c r="C55" s="6" t="str">
        <f>APPRENANTS!C55</f>
        <v>Sabri</v>
      </c>
      <c r="D55" s="6" t="s">
        <v>44</v>
      </c>
      <c r="E55" s="6" t="s">
        <v>44</v>
      </c>
      <c r="F55" s="6" t="s">
        <v>44</v>
      </c>
      <c r="G55" s="6" t="s">
        <v>44</v>
      </c>
      <c r="H55" s="6"/>
      <c r="I55" s="6" t="str">
        <f>APPRENANTS!H55</f>
        <v/>
      </c>
      <c r="J55" s="6" t="str">
        <f>APPRENANTS!I55</f>
        <v/>
      </c>
      <c r="K55" s="6" t="str">
        <f>APPRENANTS!J55</f>
        <v/>
      </c>
      <c r="L55" s="6" t="str">
        <f>APPRENANTS!K55</f>
        <v/>
      </c>
      <c r="M55" s="10" t="str">
        <f t="shared" si="1"/>
        <v>CV, CIN, 6 dossiers admin, Convocation examen</v>
      </c>
    </row>
    <row r="56" ht="15.0" customHeight="1">
      <c r="A56" s="6" t="str">
        <f>APPRENANTS!A56</f>
        <v>Proforma Institut</v>
      </c>
      <c r="B56" s="6" t="str">
        <f>APPRENANTS!B56</f>
        <v>ATAYAN Julieta</v>
      </c>
      <c r="C56" s="6" t="str">
        <f>APPRENANTS!C56</f>
        <v>Sabri</v>
      </c>
      <c r="D56" s="6" t="s">
        <v>44</v>
      </c>
      <c r="E56" s="6" t="s">
        <v>44</v>
      </c>
      <c r="F56" s="6" t="s">
        <v>44</v>
      </c>
      <c r="G56" s="6" t="s">
        <v>44</v>
      </c>
      <c r="H56" s="6"/>
      <c r="I56" s="6" t="str">
        <f>APPRENANTS!H56</f>
        <v/>
      </c>
      <c r="J56" s="6" t="str">
        <f>APPRENANTS!I56</f>
        <v/>
      </c>
      <c r="K56" s="6" t="str">
        <f>APPRENANTS!J56</f>
        <v/>
      </c>
      <c r="L56" s="6" t="str">
        <f>APPRENANTS!K56</f>
        <v/>
      </c>
      <c r="M56" s="10" t="str">
        <f t="shared" si="1"/>
        <v>CV, CIN, 6 dossiers admin, Convocation examen</v>
      </c>
    </row>
    <row r="57" ht="15.0" customHeight="1">
      <c r="A57" s="6" t="str">
        <f>APPRENANTS!A57</f>
        <v>Proforma Institut</v>
      </c>
      <c r="B57" s="6" t="str">
        <f>APPRENANTS!B57</f>
        <v>VARDANYAN Anait</v>
      </c>
      <c r="C57" s="6" t="str">
        <f>APPRENANTS!C57</f>
        <v>Sabri</v>
      </c>
      <c r="D57" s="6" t="s">
        <v>44</v>
      </c>
      <c r="E57" s="6" t="s">
        <v>44</v>
      </c>
      <c r="F57" s="6" t="s">
        <v>44</v>
      </c>
      <c r="G57" s="6" t="s">
        <v>44</v>
      </c>
      <c r="H57" s="6"/>
      <c r="I57" s="6" t="str">
        <f>APPRENANTS!H57</f>
        <v/>
      </c>
      <c r="J57" s="6" t="str">
        <f>APPRENANTS!I57</f>
        <v/>
      </c>
      <c r="K57" s="6" t="str">
        <f>APPRENANTS!J57</f>
        <v/>
      </c>
      <c r="L57" s="6" t="str">
        <f>APPRENANTS!K57</f>
        <v/>
      </c>
      <c r="M57" s="10" t="str">
        <f t="shared" si="1"/>
        <v>CV, CIN, 6 dossiers admin, Convocation examen</v>
      </c>
    </row>
    <row r="58" ht="15.0" customHeight="1">
      <c r="A58" s="6" t="str">
        <f>APPRENANTS!A58</f>
        <v>Proforma Institut</v>
      </c>
      <c r="B58" s="6" t="str">
        <f>APPRENANTS!B58</f>
        <v>EL BOUGHABI Adil</v>
      </c>
      <c r="C58" s="6" t="str">
        <f>APPRENANTS!C58</f>
        <v>MOH</v>
      </c>
      <c r="D58" s="6" t="s">
        <v>44</v>
      </c>
      <c r="E58" s="6" t="s">
        <v>44</v>
      </c>
      <c r="F58" s="6" t="s">
        <v>44</v>
      </c>
      <c r="G58" s="6" t="s">
        <v>44</v>
      </c>
      <c r="H58" s="6"/>
      <c r="I58" s="6" t="str">
        <f>APPRENANTS!H58</f>
        <v/>
      </c>
      <c r="J58" s="6" t="str">
        <f>APPRENANTS!I58</f>
        <v/>
      </c>
      <c r="K58" s="6" t="str">
        <f>APPRENANTS!J58</f>
        <v/>
      </c>
      <c r="L58" s="6" t="str">
        <f>APPRENANTS!K58</f>
        <v/>
      </c>
      <c r="M58" s="10" t="str">
        <f t="shared" si="1"/>
        <v>CV, CIN, 6 dossiers admin, Convocation examen</v>
      </c>
    </row>
    <row r="59" ht="15.0" customHeight="1">
      <c r="A59" s="6" t="str">
        <f>APPRENANTS!A59</f>
        <v>Proforma Institut</v>
      </c>
      <c r="B59" s="6" t="str">
        <f>APPRENANTS!B59</f>
        <v>EL BOUGHABI Adil</v>
      </c>
      <c r="C59" s="6" t="str">
        <f>APPRENANTS!C59</f>
        <v>MOH</v>
      </c>
      <c r="D59" s="6" t="s">
        <v>44</v>
      </c>
      <c r="E59" s="6" t="s">
        <v>44</v>
      </c>
      <c r="F59" s="6" t="s">
        <v>44</v>
      </c>
      <c r="G59" s="6" t="s">
        <v>44</v>
      </c>
      <c r="H59" s="6"/>
      <c r="I59" s="6" t="str">
        <f>APPRENANTS!H59</f>
        <v/>
      </c>
      <c r="J59" s="6" t="str">
        <f>APPRENANTS!I59</f>
        <v/>
      </c>
      <c r="K59" s="6" t="str">
        <f>APPRENANTS!J59</f>
        <v/>
      </c>
      <c r="L59" s="6" t="str">
        <f>APPRENANTS!K59</f>
        <v/>
      </c>
      <c r="M59" s="10" t="str">
        <f t="shared" si="1"/>
        <v>CV, CIN, 6 dossiers admin, Convocation examen</v>
      </c>
    </row>
    <row r="60" ht="15.0" customHeight="1">
      <c r="A60" s="6" t="str">
        <f>APPRENANTS!A60</f>
        <v>Proforma Institut</v>
      </c>
      <c r="B60" s="6" t="str">
        <f>APPRENANTS!B60</f>
        <v>ALARCON Lucas</v>
      </c>
      <c r="C60" s="6" t="str">
        <f>APPRENANTS!C60</f>
        <v>MOH</v>
      </c>
      <c r="D60" s="6" t="s">
        <v>44</v>
      </c>
      <c r="E60" s="6" t="s">
        <v>44</v>
      </c>
      <c r="F60" s="6" t="s">
        <v>44</v>
      </c>
      <c r="G60" s="6" t="s">
        <v>44</v>
      </c>
      <c r="H60" s="6"/>
      <c r="I60" s="6" t="str">
        <f>APPRENANTS!H60</f>
        <v/>
      </c>
      <c r="J60" s="6" t="str">
        <f>APPRENANTS!I60</f>
        <v/>
      </c>
      <c r="K60" s="6" t="str">
        <f>APPRENANTS!J60</f>
        <v/>
      </c>
      <c r="L60" s="6" t="str">
        <f>APPRENANTS!K60</f>
        <v/>
      </c>
      <c r="M60" s="10" t="str">
        <f t="shared" si="1"/>
        <v>CV, CIN, 6 dossiers admin, Convocation examen</v>
      </c>
    </row>
    <row r="61" ht="15.0" customHeight="1">
      <c r="A61" s="6" t="str">
        <f>APPRENANTS!A61</f>
        <v>Proforma Institut</v>
      </c>
      <c r="B61" s="6" t="str">
        <f>APPRENANTS!B61</f>
        <v>ALARCON Lucas</v>
      </c>
      <c r="C61" s="6" t="str">
        <f>APPRENANTS!C61</f>
        <v>MOH</v>
      </c>
      <c r="D61" s="6" t="s">
        <v>44</v>
      </c>
      <c r="E61" s="6" t="s">
        <v>44</v>
      </c>
      <c r="F61" s="6" t="s">
        <v>44</v>
      </c>
      <c r="G61" s="6" t="s">
        <v>44</v>
      </c>
      <c r="H61" s="6"/>
      <c r="I61" s="6" t="str">
        <f>APPRENANTS!H61</f>
        <v/>
      </c>
      <c r="J61" s="6" t="str">
        <f>APPRENANTS!I61</f>
        <v/>
      </c>
      <c r="K61" s="6" t="str">
        <f>APPRENANTS!J61</f>
        <v/>
      </c>
      <c r="L61" s="6" t="str">
        <f>APPRENANTS!K61</f>
        <v/>
      </c>
      <c r="M61" s="10" t="str">
        <f t="shared" si="1"/>
        <v>CV, CIN, 6 dossiers admin, Convocation examen</v>
      </c>
    </row>
    <row r="62" ht="15.0" customHeight="1">
      <c r="A62" s="6" t="str">
        <f>APPRENANTS!A62</f>
        <v>Proforma Institut</v>
      </c>
      <c r="B62" s="6" t="str">
        <f>APPRENANTS!B62</f>
        <v>ARGOUBI Karim</v>
      </c>
      <c r="C62" s="6" t="str">
        <f>APPRENANTS!C62</f>
        <v>Djody</v>
      </c>
      <c r="D62" s="6" t="s">
        <v>44</v>
      </c>
      <c r="E62" s="6" t="s">
        <v>44</v>
      </c>
      <c r="F62" s="6" t="s">
        <v>44</v>
      </c>
      <c r="G62" s="6" t="s">
        <v>44</v>
      </c>
      <c r="H62" s="6"/>
      <c r="I62" s="6" t="str">
        <f>APPRENANTS!H62</f>
        <v/>
      </c>
      <c r="J62" s="6" t="str">
        <f>APPRENANTS!I62</f>
        <v/>
      </c>
      <c r="K62" s="6" t="str">
        <f>APPRENANTS!J62</f>
        <v/>
      </c>
      <c r="L62" s="6" t="str">
        <f>APPRENANTS!K62</f>
        <v/>
      </c>
      <c r="M62" s="10" t="str">
        <f t="shared" si="1"/>
        <v>CV, CIN, 6 dossiers admin, Convocation examen</v>
      </c>
    </row>
    <row r="63" ht="15.0" customHeight="1">
      <c r="A63" s="6" t="str">
        <f>APPRENANTS!A63</f>
        <v>Proforma Institut</v>
      </c>
      <c r="B63" s="6" t="str">
        <f>APPRENANTS!B63</f>
        <v>ARGOUBI Karim</v>
      </c>
      <c r="C63" s="6" t="str">
        <f>APPRENANTS!C63</f>
        <v>Djody</v>
      </c>
      <c r="D63" s="6" t="s">
        <v>44</v>
      </c>
      <c r="E63" s="6" t="s">
        <v>44</v>
      </c>
      <c r="F63" s="6" t="s">
        <v>44</v>
      </c>
      <c r="G63" s="6" t="s">
        <v>44</v>
      </c>
      <c r="H63" s="6"/>
      <c r="I63" s="6" t="str">
        <f>APPRENANTS!H63</f>
        <v/>
      </c>
      <c r="J63" s="6" t="str">
        <f>APPRENANTS!I63</f>
        <v/>
      </c>
      <c r="K63" s="6" t="str">
        <f>APPRENANTS!J63</f>
        <v/>
      </c>
      <c r="L63" s="6" t="str">
        <f>APPRENANTS!K63</f>
        <v/>
      </c>
      <c r="M63" s="10" t="str">
        <f t="shared" si="1"/>
        <v>CV, CIN, 6 dossiers admin, Convocation examen</v>
      </c>
    </row>
    <row r="64" ht="15.0" customHeight="1">
      <c r="A64" s="6" t="str">
        <f>APPRENANTS!A64</f>
        <v>Proforma Institut</v>
      </c>
      <c r="B64" s="6" t="str">
        <f>APPRENANTS!B64</f>
        <v>ARGOUBI Karim</v>
      </c>
      <c r="C64" s="6" t="str">
        <f>APPRENANTS!C64</f>
        <v>Djody</v>
      </c>
      <c r="D64" s="6" t="s">
        <v>44</v>
      </c>
      <c r="E64" s="6" t="s">
        <v>44</v>
      </c>
      <c r="F64" s="6" t="s">
        <v>44</v>
      </c>
      <c r="G64" s="6" t="s">
        <v>44</v>
      </c>
      <c r="H64" s="6"/>
      <c r="I64" s="6" t="str">
        <f>APPRENANTS!H64</f>
        <v/>
      </c>
      <c r="J64" s="6" t="str">
        <f>APPRENANTS!I64</f>
        <v/>
      </c>
      <c r="K64" s="6" t="str">
        <f>APPRENANTS!J64</f>
        <v/>
      </c>
      <c r="L64" s="6" t="str">
        <f>APPRENANTS!K64</f>
        <v/>
      </c>
      <c r="M64" s="10" t="str">
        <f t="shared" si="1"/>
        <v>CV, CIN, 6 dossiers admin, Convocation examen</v>
      </c>
    </row>
    <row r="65" ht="15.0" customHeight="1">
      <c r="A65" s="6" t="str">
        <f>APPRENANTS!A65</f>
        <v>Proforma Institut</v>
      </c>
      <c r="B65" s="6" t="str">
        <f>APPRENANTS!B65</f>
        <v>DERKAOUI Sandra</v>
      </c>
      <c r="C65" s="6" t="str">
        <f>APPRENANTS!C65</f>
        <v>MOH</v>
      </c>
      <c r="D65" s="6" t="s">
        <v>44</v>
      </c>
      <c r="E65" s="6" t="s">
        <v>44</v>
      </c>
      <c r="F65" s="6" t="s">
        <v>44</v>
      </c>
      <c r="G65" s="6" t="s">
        <v>44</v>
      </c>
      <c r="H65" s="6"/>
      <c r="I65" s="6" t="str">
        <f>APPRENANTS!H65</f>
        <v/>
      </c>
      <c r="J65" s="6" t="str">
        <f>APPRENANTS!I65</f>
        <v/>
      </c>
      <c r="K65" s="6" t="str">
        <f>APPRENANTS!J65</f>
        <v/>
      </c>
      <c r="L65" s="6" t="str">
        <f>APPRENANTS!K65</f>
        <v/>
      </c>
      <c r="M65" s="10" t="str">
        <f t="shared" si="1"/>
        <v>CV, CIN, 6 dossiers admin, Convocation examen</v>
      </c>
    </row>
    <row r="66" ht="15.0" customHeight="1">
      <c r="A66" s="6" t="str">
        <f>APPRENANTS!A66</f>
        <v>Proforma Institut</v>
      </c>
      <c r="B66" s="6" t="str">
        <f>APPRENANTS!B66</f>
        <v>DERKAOUI Sandra</v>
      </c>
      <c r="C66" s="6" t="str">
        <f>APPRENANTS!C66</f>
        <v>MOH</v>
      </c>
      <c r="D66" s="6" t="s">
        <v>44</v>
      </c>
      <c r="E66" s="6" t="s">
        <v>44</v>
      </c>
      <c r="F66" s="6" t="s">
        <v>44</v>
      </c>
      <c r="G66" s="6" t="s">
        <v>44</v>
      </c>
      <c r="H66" s="6"/>
      <c r="I66" s="6" t="str">
        <f>APPRENANTS!H66</f>
        <v/>
      </c>
      <c r="J66" s="6" t="str">
        <f>APPRENANTS!I66</f>
        <v/>
      </c>
      <c r="K66" s="6" t="str">
        <f>APPRENANTS!J66</f>
        <v/>
      </c>
      <c r="L66" s="6" t="str">
        <f>APPRENANTS!K66</f>
        <v/>
      </c>
      <c r="M66" s="10" t="str">
        <f t="shared" si="1"/>
        <v>CV, CIN, 6 dossiers admin, Convocation examen</v>
      </c>
    </row>
    <row r="67" ht="15.0" customHeight="1">
      <c r="A67" s="6" t="str">
        <f>APPRENANTS!A67</f>
        <v>Proforma Institut</v>
      </c>
      <c r="B67" s="6" t="str">
        <f>APPRENANTS!B67</f>
        <v>MASELE MUKONGA Ann</v>
      </c>
      <c r="C67" s="6" t="str">
        <f>APPRENANTS!C67</f>
        <v>MOH</v>
      </c>
      <c r="D67" s="6" t="s">
        <v>44</v>
      </c>
      <c r="E67" s="6" t="s">
        <v>44</v>
      </c>
      <c r="F67" s="6" t="s">
        <v>44</v>
      </c>
      <c r="G67" s="6" t="s">
        <v>44</v>
      </c>
      <c r="H67" s="6"/>
      <c r="I67" s="6" t="str">
        <f>APPRENANTS!H67</f>
        <v/>
      </c>
      <c r="J67" s="6" t="str">
        <f>APPRENANTS!I67</f>
        <v/>
      </c>
      <c r="K67" s="6" t="str">
        <f>APPRENANTS!J67</f>
        <v/>
      </c>
      <c r="L67" s="6" t="str">
        <f>APPRENANTS!K67</f>
        <v/>
      </c>
      <c r="M67" s="10" t="str">
        <f t="shared" si="1"/>
        <v>CV, CIN, 6 dossiers admin, Convocation examen</v>
      </c>
    </row>
    <row r="68" ht="15.0" customHeight="1">
      <c r="A68" s="6" t="str">
        <f>APPRENANTS!A68</f>
        <v>Proforma Institut</v>
      </c>
      <c r="B68" s="6" t="str">
        <f>APPRENANTS!B68</f>
        <v>MASELE MUKONGA Ann</v>
      </c>
      <c r="C68" s="6" t="str">
        <f>APPRENANTS!C68</f>
        <v>MOH</v>
      </c>
      <c r="D68" s="6" t="s">
        <v>44</v>
      </c>
      <c r="E68" s="6" t="s">
        <v>44</v>
      </c>
      <c r="F68" s="6" t="s">
        <v>44</v>
      </c>
      <c r="G68" s="6" t="s">
        <v>44</v>
      </c>
      <c r="H68" s="6"/>
      <c r="I68" s="6" t="str">
        <f>APPRENANTS!H68</f>
        <v/>
      </c>
      <c r="J68" s="6" t="str">
        <f>APPRENANTS!I68</f>
        <v/>
      </c>
      <c r="K68" s="6" t="str">
        <f>APPRENANTS!J68</f>
        <v/>
      </c>
      <c r="L68" s="6" t="str">
        <f>APPRENANTS!K68</f>
        <v/>
      </c>
      <c r="M68" s="10" t="str">
        <f t="shared" si="1"/>
        <v>CV, CIN, 6 dossiers admin, Convocation examen</v>
      </c>
    </row>
    <row r="69" ht="15.0" customHeight="1">
      <c r="A69" s="6" t="str">
        <f>APPRENANTS!A69</f>
        <v>Proforma Institut</v>
      </c>
      <c r="B69" s="6" t="str">
        <f>APPRENANTS!B69</f>
        <v>MASELE MUKONGA Ann</v>
      </c>
      <c r="C69" s="6" t="str">
        <f>APPRENANTS!C69</f>
        <v>MOH</v>
      </c>
      <c r="D69" s="6" t="s">
        <v>44</v>
      </c>
      <c r="E69" s="6" t="s">
        <v>44</v>
      </c>
      <c r="F69" s="6" t="s">
        <v>44</v>
      </c>
      <c r="G69" s="6" t="s">
        <v>44</v>
      </c>
      <c r="H69" s="6"/>
      <c r="I69" s="6" t="str">
        <f>APPRENANTS!H69</f>
        <v/>
      </c>
      <c r="J69" s="6" t="str">
        <f>APPRENANTS!I69</f>
        <v/>
      </c>
      <c r="K69" s="6" t="str">
        <f>APPRENANTS!J69</f>
        <v/>
      </c>
      <c r="L69" s="6" t="str">
        <f>APPRENANTS!K69</f>
        <v/>
      </c>
      <c r="M69" s="10" t="str">
        <f t="shared" si="1"/>
        <v>CV, CIN, 6 dossiers admin, Convocation examen</v>
      </c>
    </row>
    <row r="70" ht="15.0" customHeight="1">
      <c r="A70" s="6" t="str">
        <f>APPRENANTS!A70</f>
        <v>Proforma Institut</v>
      </c>
      <c r="B70" s="6" t="str">
        <f>APPRENANTS!B70</f>
        <v>SANCHEZ Fabrice</v>
      </c>
      <c r="C70" s="6" t="str">
        <f>APPRENANTS!C70</f>
        <v>MOH</v>
      </c>
      <c r="D70" s="6" t="s">
        <v>44</v>
      </c>
      <c r="E70" s="6" t="s">
        <v>44</v>
      </c>
      <c r="F70" s="6" t="s">
        <v>44</v>
      </c>
      <c r="G70" s="6" t="s">
        <v>44</v>
      </c>
      <c r="H70" s="6"/>
      <c r="I70" s="6" t="str">
        <f>APPRENANTS!H70</f>
        <v/>
      </c>
      <c r="J70" s="6" t="str">
        <f>APPRENANTS!I70</f>
        <v/>
      </c>
      <c r="K70" s="6" t="str">
        <f>APPRENANTS!J70</f>
        <v/>
      </c>
      <c r="L70" s="6" t="str">
        <f>APPRENANTS!K70</f>
        <v/>
      </c>
      <c r="M70" s="10" t="str">
        <f t="shared" si="1"/>
        <v>CV, CIN, 6 dossiers admin, Convocation examen</v>
      </c>
    </row>
    <row r="71" ht="15.0" customHeight="1">
      <c r="A71" s="6" t="str">
        <f>APPRENANTS!A71</f>
        <v>Proforma Institut</v>
      </c>
      <c r="B71" s="6" t="str">
        <f>APPRENANTS!B71</f>
        <v>SANCHEZ Fabrice</v>
      </c>
      <c r="C71" s="6" t="str">
        <f>APPRENANTS!C71</f>
        <v>MOH</v>
      </c>
      <c r="D71" s="6" t="s">
        <v>44</v>
      </c>
      <c r="E71" s="6" t="s">
        <v>44</v>
      </c>
      <c r="F71" s="6" t="s">
        <v>44</v>
      </c>
      <c r="G71" s="6" t="s">
        <v>44</v>
      </c>
      <c r="H71" s="6"/>
      <c r="I71" s="6" t="str">
        <f>APPRENANTS!H71</f>
        <v/>
      </c>
      <c r="J71" s="6" t="str">
        <f>APPRENANTS!I71</f>
        <v/>
      </c>
      <c r="K71" s="6" t="str">
        <f>APPRENANTS!J71</f>
        <v/>
      </c>
      <c r="L71" s="6" t="str">
        <f>APPRENANTS!K71</f>
        <v/>
      </c>
      <c r="M71" s="10" t="str">
        <f t="shared" si="1"/>
        <v>CV, CIN, 6 dossiers admin, Convocation examen</v>
      </c>
    </row>
    <row r="72" ht="15.0" customHeight="1">
      <c r="A72" s="6" t="str">
        <f>APPRENANTS!A72</f>
        <v>Proforma Institut</v>
      </c>
      <c r="B72" s="6" t="str">
        <f>APPRENANTS!B72</f>
        <v>SANCHEZ Fabrice</v>
      </c>
      <c r="C72" s="6" t="str">
        <f>APPRENANTS!C72</f>
        <v>MOH</v>
      </c>
      <c r="D72" s="6" t="s">
        <v>44</v>
      </c>
      <c r="E72" s="6" t="s">
        <v>44</v>
      </c>
      <c r="F72" s="6" t="s">
        <v>44</v>
      </c>
      <c r="G72" s="6" t="s">
        <v>44</v>
      </c>
      <c r="H72" s="6"/>
      <c r="I72" s="6" t="str">
        <f>APPRENANTS!H72</f>
        <v/>
      </c>
      <c r="J72" s="6" t="str">
        <f>APPRENANTS!I72</f>
        <v/>
      </c>
      <c r="K72" s="6" t="str">
        <f>APPRENANTS!J72</f>
        <v/>
      </c>
      <c r="L72" s="6" t="str">
        <f>APPRENANTS!K72</f>
        <v/>
      </c>
      <c r="M72" s="10" t="str">
        <f t="shared" si="1"/>
        <v>CV, CIN, 6 dossiers admin, Convocation examen</v>
      </c>
    </row>
    <row r="73" ht="15.0" customHeight="1">
      <c r="A73" s="6" t="str">
        <f>APPRENANTS!A73</f>
        <v>Proforma Institut</v>
      </c>
      <c r="B73" s="6" t="str">
        <f>APPRENANTS!B73</f>
        <v>LAZREG Redha</v>
      </c>
      <c r="C73" s="6" t="str">
        <f>APPRENANTS!C73</f>
        <v>hak</v>
      </c>
      <c r="D73" s="6" t="s">
        <v>44</v>
      </c>
      <c r="E73" s="6" t="s">
        <v>44</v>
      </c>
      <c r="F73" s="6" t="s">
        <v>44</v>
      </c>
      <c r="G73" s="6" t="s">
        <v>44</v>
      </c>
      <c r="H73" s="6"/>
      <c r="I73" s="6" t="str">
        <f>APPRENANTS!H73</f>
        <v/>
      </c>
      <c r="J73" s="6" t="str">
        <f>APPRENANTS!I73</f>
        <v/>
      </c>
      <c r="K73" s="6" t="str">
        <f>APPRENANTS!J73</f>
        <v/>
      </c>
      <c r="L73" s="6" t="str">
        <f>APPRENANTS!K73</f>
        <v/>
      </c>
      <c r="M73" s="10" t="str">
        <f t="shared" si="1"/>
        <v>CV, CIN, 6 dossiers admin, Convocation examen</v>
      </c>
    </row>
    <row r="74" ht="15.0" customHeight="1">
      <c r="A74" s="6" t="str">
        <f>APPRENANTS!A74</f>
        <v>Proforma Institut</v>
      </c>
      <c r="B74" s="6" t="str">
        <f>APPRENANTS!B74</f>
        <v>LAZREG Redha</v>
      </c>
      <c r="C74" s="6" t="str">
        <f>APPRENANTS!C74</f>
        <v>hak</v>
      </c>
      <c r="D74" s="6" t="s">
        <v>44</v>
      </c>
      <c r="E74" s="6" t="s">
        <v>44</v>
      </c>
      <c r="F74" s="6" t="s">
        <v>44</v>
      </c>
      <c r="G74" s="6" t="s">
        <v>44</v>
      </c>
      <c r="H74" s="6"/>
      <c r="I74" s="6" t="str">
        <f>APPRENANTS!H74</f>
        <v/>
      </c>
      <c r="J74" s="6" t="str">
        <f>APPRENANTS!I74</f>
        <v/>
      </c>
      <c r="K74" s="6" t="str">
        <f>APPRENANTS!J74</f>
        <v/>
      </c>
      <c r="L74" s="6" t="str">
        <f>APPRENANTS!K74</f>
        <v/>
      </c>
      <c r="M74" s="10" t="str">
        <f t="shared" si="1"/>
        <v>CV, CIN, 6 dossiers admin, Convocation examen</v>
      </c>
    </row>
    <row r="75" ht="15.0" customHeight="1">
      <c r="A75" s="6" t="str">
        <f>APPRENANTS!A75</f>
        <v>Proforma Institut</v>
      </c>
      <c r="B75" s="6" t="str">
        <f>APPRENANTS!B75</f>
        <v>LAZREG Redha</v>
      </c>
      <c r="C75" s="6" t="str">
        <f>APPRENANTS!C75</f>
        <v>hak</v>
      </c>
      <c r="D75" s="6" t="s">
        <v>44</v>
      </c>
      <c r="E75" s="6" t="s">
        <v>44</v>
      </c>
      <c r="F75" s="6" t="s">
        <v>44</v>
      </c>
      <c r="G75" s="6" t="s">
        <v>44</v>
      </c>
      <c r="H75" s="6"/>
      <c r="I75" s="6" t="str">
        <f>APPRENANTS!H75</f>
        <v/>
      </c>
      <c r="J75" s="6" t="str">
        <f>APPRENANTS!I75</f>
        <v/>
      </c>
      <c r="K75" s="6" t="str">
        <f>APPRENANTS!J75</f>
        <v/>
      </c>
      <c r="L75" s="6" t="str">
        <f>APPRENANTS!K75</f>
        <v/>
      </c>
      <c r="M75" s="10" t="str">
        <f t="shared" si="1"/>
        <v>CV, CIN, 6 dossiers admin, Convocation examen</v>
      </c>
    </row>
    <row r="76" ht="15.0" customHeight="1">
      <c r="A76" s="6" t="str">
        <f>APPRENANTS!A76</f>
        <v>Proforma Institut</v>
      </c>
      <c r="B76" s="6" t="str">
        <f>APPRENANTS!B76</f>
        <v>CATENNE Guillaume</v>
      </c>
      <c r="C76" s="6" t="str">
        <f>APPRENANTS!C76</f>
        <v>hak</v>
      </c>
      <c r="D76" s="6" t="s">
        <v>44</v>
      </c>
      <c r="E76" s="6" t="s">
        <v>44</v>
      </c>
      <c r="F76" s="6" t="s">
        <v>44</v>
      </c>
      <c r="G76" s="6" t="s">
        <v>44</v>
      </c>
      <c r="H76" s="6"/>
      <c r="I76" s="6" t="str">
        <f>APPRENANTS!H76</f>
        <v/>
      </c>
      <c r="J76" s="6" t="str">
        <f>APPRENANTS!I76</f>
        <v/>
      </c>
      <c r="K76" s="6" t="str">
        <f>APPRENANTS!J76</f>
        <v/>
      </c>
      <c r="L76" s="6" t="str">
        <f>APPRENANTS!K76</f>
        <v/>
      </c>
      <c r="M76" s="10" t="str">
        <f t="shared" si="1"/>
        <v>CV, CIN, 6 dossiers admin, Convocation examen</v>
      </c>
    </row>
    <row r="77" ht="15.0" customHeight="1">
      <c r="A77" s="6" t="str">
        <f>APPRENANTS!A77</f>
        <v>Proforma Institut</v>
      </c>
      <c r="B77" s="6" t="str">
        <f>APPRENANTS!B77</f>
        <v>CATENNE Guillaume</v>
      </c>
      <c r="C77" s="6" t="str">
        <f>APPRENANTS!C77</f>
        <v>hak</v>
      </c>
      <c r="D77" s="6" t="s">
        <v>44</v>
      </c>
      <c r="E77" s="6" t="s">
        <v>44</v>
      </c>
      <c r="F77" s="6" t="s">
        <v>44</v>
      </c>
      <c r="G77" s="6" t="s">
        <v>44</v>
      </c>
      <c r="H77" s="6"/>
      <c r="I77" s="6" t="str">
        <f>APPRENANTS!H77</f>
        <v/>
      </c>
      <c r="J77" s="6" t="str">
        <f>APPRENANTS!I77</f>
        <v/>
      </c>
      <c r="K77" s="6" t="str">
        <f>APPRENANTS!J77</f>
        <v/>
      </c>
      <c r="L77" s="6" t="str">
        <f>APPRENANTS!K77</f>
        <v/>
      </c>
      <c r="M77" s="10" t="str">
        <f t="shared" si="1"/>
        <v>CV, CIN, 6 dossiers admin, Convocation examen</v>
      </c>
    </row>
    <row r="78" ht="15.0" customHeight="1">
      <c r="A78" s="6" t="str">
        <f>APPRENANTS!A78</f>
        <v>Proforma Institut</v>
      </c>
      <c r="B78" s="6" t="str">
        <f>APPRENANTS!B78</f>
        <v>CATENNE Guillaume</v>
      </c>
      <c r="C78" s="6" t="str">
        <f>APPRENANTS!C78</f>
        <v>hak</v>
      </c>
      <c r="D78" s="6" t="s">
        <v>44</v>
      </c>
      <c r="E78" s="6" t="s">
        <v>44</v>
      </c>
      <c r="F78" s="6" t="s">
        <v>44</v>
      </c>
      <c r="G78" s="6" t="s">
        <v>44</v>
      </c>
      <c r="H78" s="6"/>
      <c r="I78" s="6" t="str">
        <f>APPRENANTS!H78</f>
        <v/>
      </c>
      <c r="J78" s="6" t="str">
        <f>APPRENANTS!I78</f>
        <v/>
      </c>
      <c r="K78" s="6" t="str">
        <f>APPRENANTS!J78</f>
        <v/>
      </c>
      <c r="L78" s="6" t="str">
        <f>APPRENANTS!K78</f>
        <v/>
      </c>
      <c r="M78" s="10" t="str">
        <f t="shared" si="1"/>
        <v>CV, CIN, 6 dossiers admin, Convocation examen</v>
      </c>
    </row>
    <row r="79" ht="15.0" customHeight="1">
      <c r="A79" s="6" t="str">
        <f>APPRENANTS!A79</f>
        <v>Proforma Institut</v>
      </c>
      <c r="B79" s="6" t="str">
        <f>APPRENANTS!B79</f>
        <v>BENSAID Lahouari</v>
      </c>
      <c r="C79" s="6" t="str">
        <f>APPRENANTS!C79</f>
        <v>hak</v>
      </c>
      <c r="D79" s="6" t="s">
        <v>44</v>
      </c>
      <c r="E79" s="6" t="s">
        <v>44</v>
      </c>
      <c r="F79" s="6" t="s">
        <v>44</v>
      </c>
      <c r="G79" s="6" t="s">
        <v>44</v>
      </c>
      <c r="H79" s="6"/>
      <c r="I79" s="6" t="str">
        <f>APPRENANTS!H79</f>
        <v/>
      </c>
      <c r="J79" s="6" t="str">
        <f>APPRENANTS!I79</f>
        <v/>
      </c>
      <c r="K79" s="6" t="str">
        <f>APPRENANTS!J79</f>
        <v/>
      </c>
      <c r="L79" s="6" t="str">
        <f>APPRENANTS!K79</f>
        <v/>
      </c>
      <c r="M79" s="10" t="str">
        <f t="shared" si="1"/>
        <v>CV, CIN, 6 dossiers admin, Convocation examen</v>
      </c>
    </row>
    <row r="80" ht="15.0" customHeight="1">
      <c r="A80" s="6" t="str">
        <f>APPRENANTS!A80</f>
        <v>Proforma Institut</v>
      </c>
      <c r="B80" s="6" t="str">
        <f>APPRENANTS!B80</f>
        <v>BENSAID Lahouari</v>
      </c>
      <c r="C80" s="6" t="str">
        <f>APPRENANTS!C80</f>
        <v>hak</v>
      </c>
      <c r="D80" s="6" t="s">
        <v>44</v>
      </c>
      <c r="E80" s="6" t="s">
        <v>44</v>
      </c>
      <c r="F80" s="6" t="s">
        <v>44</v>
      </c>
      <c r="G80" s="6" t="s">
        <v>44</v>
      </c>
      <c r="H80" s="6"/>
      <c r="I80" s="6" t="str">
        <f>APPRENANTS!H80</f>
        <v/>
      </c>
      <c r="J80" s="6" t="str">
        <f>APPRENANTS!I80</f>
        <v/>
      </c>
      <c r="K80" s="6" t="str">
        <f>APPRENANTS!J80</f>
        <v/>
      </c>
      <c r="L80" s="6" t="str">
        <f>APPRENANTS!K80</f>
        <v/>
      </c>
      <c r="M80" s="10" t="str">
        <f t="shared" si="1"/>
        <v>CV, CIN, 6 dossiers admin, Convocation examen</v>
      </c>
    </row>
    <row r="81" ht="15.0" customHeight="1">
      <c r="A81" s="6" t="str">
        <f>APPRENANTS!A81</f>
        <v>Proforma Institut</v>
      </c>
      <c r="B81" s="6" t="str">
        <f>APPRENANTS!B81</f>
        <v>BENSAID Lahouari</v>
      </c>
      <c r="C81" s="6" t="str">
        <f>APPRENANTS!C81</f>
        <v>hak</v>
      </c>
      <c r="D81" s="6" t="s">
        <v>44</v>
      </c>
      <c r="E81" s="6" t="s">
        <v>44</v>
      </c>
      <c r="F81" s="6" t="s">
        <v>44</v>
      </c>
      <c r="G81" s="6" t="s">
        <v>44</v>
      </c>
      <c r="H81" s="6"/>
      <c r="I81" s="6" t="str">
        <f>APPRENANTS!H81</f>
        <v/>
      </c>
      <c r="J81" s="6" t="str">
        <f>APPRENANTS!I81</f>
        <v/>
      </c>
      <c r="K81" s="6" t="str">
        <f>APPRENANTS!J81</f>
        <v/>
      </c>
      <c r="L81" s="6" t="str">
        <f>APPRENANTS!K81</f>
        <v/>
      </c>
      <c r="M81" s="10" t="str">
        <f t="shared" si="1"/>
        <v>CV, CIN, 6 dossiers admin, Convocation examen</v>
      </c>
    </row>
    <row r="82" ht="15.0" customHeight="1">
      <c r="A82" s="6" t="str">
        <f>APPRENANTS!A82</f>
        <v>Proskills Institut</v>
      </c>
      <c r="B82" s="6" t="str">
        <f>APPRENANTS!B82</f>
        <v>LAUZERO Jose</v>
      </c>
      <c r="C82" s="6" t="str">
        <f>APPRENANTS!C82</f>
        <v>Jules</v>
      </c>
      <c r="D82" s="6" t="s">
        <v>44</v>
      </c>
      <c r="E82" s="6" t="s">
        <v>47</v>
      </c>
      <c r="F82" s="6" t="s">
        <v>44</v>
      </c>
      <c r="G82" s="6" t="s">
        <v>44</v>
      </c>
      <c r="H82" s="6" t="s">
        <v>298</v>
      </c>
      <c r="I82" s="6" t="str">
        <f>APPRENANTS!H82</f>
        <v>75 VMIN VIEUX CHEMIN D'ISTRES 13300 SALON DE PROVENCE</v>
      </c>
      <c r="J82" s="6" t="str">
        <f>APPRENANTS!I82</f>
        <v>jose.lauzero@gmail.com</v>
      </c>
      <c r="K82" s="6" t="str">
        <f>APPRENANTS!J82</f>
        <v>0687216599</v>
      </c>
      <c r="L82" s="6" t="str">
        <f>APPRENANTS!K82</f>
        <v/>
      </c>
      <c r="M82" s="10" t="str">
        <f t="shared" si="1"/>
        <v>CV, 6 dossiers admin, Convocation examen</v>
      </c>
    </row>
    <row r="83" ht="15.0" customHeight="1">
      <c r="A83" s="6" t="str">
        <f>APPRENANTS!A83</f>
        <v>Proskills Institut</v>
      </c>
      <c r="B83" s="6" t="str">
        <f>APPRENANTS!B83</f>
        <v>LAUZERO Jose</v>
      </c>
      <c r="C83" s="6" t="str">
        <f>APPRENANTS!C83</f>
        <v>Jules</v>
      </c>
      <c r="D83" s="6" t="s">
        <v>44</v>
      </c>
      <c r="E83" s="6" t="s">
        <v>47</v>
      </c>
      <c r="F83" s="6" t="s">
        <v>44</v>
      </c>
      <c r="G83" s="6" t="s">
        <v>44</v>
      </c>
      <c r="H83" s="6" t="s">
        <v>298</v>
      </c>
      <c r="I83" s="6" t="str">
        <f>APPRENANTS!H83</f>
        <v>75 VMIN VIEUX CHEMIN D'ISTRES 13300 SALON DE PROVENCE</v>
      </c>
      <c r="J83" s="6" t="str">
        <f>APPRENANTS!I83</f>
        <v>jose.lauzero@gmail.com</v>
      </c>
      <c r="K83" s="6" t="str">
        <f>APPRENANTS!J83</f>
        <v/>
      </c>
      <c r="L83" s="6" t="str">
        <f>APPRENANTS!K83</f>
        <v/>
      </c>
      <c r="M83" s="10" t="str">
        <f t="shared" si="1"/>
        <v>CV, 6 dossiers admin, Convocation examen</v>
      </c>
    </row>
    <row r="84" ht="15.0" customHeight="1">
      <c r="A84" s="6" t="str">
        <f>APPRENANTS!A84</f>
        <v>Proskills Institut</v>
      </c>
      <c r="B84" s="6" t="str">
        <f>APPRENANTS!B84</f>
        <v>LAUZERO Jose</v>
      </c>
      <c r="C84" s="6" t="str">
        <f>APPRENANTS!C84</f>
        <v>Jules</v>
      </c>
      <c r="D84" s="6" t="s">
        <v>44</v>
      </c>
      <c r="E84" s="6" t="s">
        <v>47</v>
      </c>
      <c r="F84" s="6" t="s">
        <v>44</v>
      </c>
      <c r="G84" s="6" t="s">
        <v>44</v>
      </c>
      <c r="H84" s="6" t="s">
        <v>298</v>
      </c>
      <c r="I84" s="6" t="str">
        <f>APPRENANTS!H84</f>
        <v>75 VMIN VIEUX CHEMIN D'ISTRES 13300 SALON DE PROVENCE</v>
      </c>
      <c r="J84" s="6" t="str">
        <f>APPRENANTS!I84</f>
        <v>jose.lauzero@gmail.com</v>
      </c>
      <c r="K84" s="6" t="str">
        <f>APPRENANTS!J84</f>
        <v/>
      </c>
      <c r="L84" s="6" t="str">
        <f>APPRENANTS!K84</f>
        <v/>
      </c>
      <c r="M84" s="10" t="str">
        <f t="shared" si="1"/>
        <v>CV, 6 dossiers admin, Convocation examen</v>
      </c>
    </row>
    <row r="85" ht="15.0" customHeight="1">
      <c r="A85" s="6" t="str">
        <f>APPRENANTS!A85</f>
        <v>Proskills Institut</v>
      </c>
      <c r="B85" s="6" t="str">
        <f>APPRENANTS!B85</f>
        <v>MIEGE Cesar</v>
      </c>
      <c r="C85" s="6" t="str">
        <f>APPRENANTS!C85</f>
        <v>Jules</v>
      </c>
      <c r="D85" s="6" t="s">
        <v>44</v>
      </c>
      <c r="E85" s="6" t="s">
        <v>47</v>
      </c>
      <c r="F85" s="6" t="s">
        <v>44</v>
      </c>
      <c r="G85" s="6" t="s">
        <v>44</v>
      </c>
      <c r="H85" s="6"/>
      <c r="I85" s="6" t="str">
        <f>APPRENANTS!H85</f>
        <v>75 VMIN Vieux chemin d’istres 13300 SALON DE PROVENCE</v>
      </c>
      <c r="J85" s="6" t="str">
        <f>APPRENANTS!I85</f>
        <v>cesarmege17@gmail.com</v>
      </c>
      <c r="K85" s="6" t="str">
        <f>APPRENANTS!J85</f>
        <v>0686428862</v>
      </c>
      <c r="L85" s="6" t="str">
        <f>APPRENANTS!K85</f>
        <v/>
      </c>
      <c r="M85" s="10" t="str">
        <f t="shared" si="1"/>
        <v>CV, 6 dossiers admin, Convocation examen</v>
      </c>
    </row>
    <row r="86" ht="15.0" customHeight="1">
      <c r="A86" s="6" t="str">
        <f>APPRENANTS!A86</f>
        <v>Proskills Institut</v>
      </c>
      <c r="B86" s="6" t="str">
        <f>APPRENANTS!B86</f>
        <v>MIEGE Cesar</v>
      </c>
      <c r="C86" s="6" t="str">
        <f>APPRENANTS!C86</f>
        <v>Jules</v>
      </c>
      <c r="D86" s="6" t="s">
        <v>44</v>
      </c>
      <c r="E86" s="6" t="s">
        <v>47</v>
      </c>
      <c r="F86" s="6" t="s">
        <v>44</v>
      </c>
      <c r="G86" s="6" t="s">
        <v>44</v>
      </c>
      <c r="H86" s="6"/>
      <c r="I86" s="6" t="str">
        <f>APPRENANTS!H86</f>
        <v>75 VMIN Vieux chemin d’istres 13300 SALON DE PROVENCE</v>
      </c>
      <c r="J86" s="6" t="str">
        <f>APPRENANTS!I86</f>
        <v>cesarmege17@gmail.com</v>
      </c>
      <c r="K86" s="6" t="str">
        <f>APPRENANTS!J86</f>
        <v/>
      </c>
      <c r="L86" s="6" t="str">
        <f>APPRENANTS!K86</f>
        <v/>
      </c>
      <c r="M86" s="10" t="str">
        <f t="shared" si="1"/>
        <v>CV, 6 dossiers admin, Convocation examen</v>
      </c>
    </row>
    <row r="87" ht="15.0" customHeight="1">
      <c r="A87" s="6" t="str">
        <f>APPRENANTS!A87</f>
        <v>Proskills Institut</v>
      </c>
      <c r="B87" s="6" t="str">
        <f>APPRENANTS!B87</f>
        <v>BONILLO Olivier</v>
      </c>
      <c r="C87" s="6" t="str">
        <f>APPRENANTS!C87</f>
        <v>Jules</v>
      </c>
      <c r="D87" s="6" t="s">
        <v>44</v>
      </c>
      <c r="E87" s="6" t="s">
        <v>44</v>
      </c>
      <c r="F87" s="6" t="s">
        <v>44</v>
      </c>
      <c r="G87" s="6" t="s">
        <v>44</v>
      </c>
      <c r="H87" s="6"/>
      <c r="I87" s="6" t="str">
        <f>APPRENANTS!H87</f>
        <v>190 RTE Petite route des milles 13290 AIX EN PROVENCE</v>
      </c>
      <c r="J87" s="6" t="str">
        <f>APPRENANTS!I87</f>
        <v>gilly.oliver1810@gmail.com</v>
      </c>
      <c r="K87" s="6" t="str">
        <f>APPRENANTS!J87</f>
        <v>0761243015</v>
      </c>
      <c r="L87" s="6" t="str">
        <f>APPRENANTS!K87</f>
        <v/>
      </c>
      <c r="M87" s="10" t="str">
        <f t="shared" si="1"/>
        <v>CV, CIN, 6 dossiers admin, Convocation examen</v>
      </c>
    </row>
    <row r="88" ht="15.0" customHeight="1">
      <c r="A88" s="6" t="str">
        <f>APPRENANTS!A88</f>
        <v>Proskills Institut</v>
      </c>
      <c r="B88" s="6" t="str">
        <f>APPRENANTS!B88</f>
        <v>BONILLO Olivier</v>
      </c>
      <c r="C88" s="6" t="str">
        <f>APPRENANTS!C88</f>
        <v>Jules</v>
      </c>
      <c r="D88" s="6" t="s">
        <v>44</v>
      </c>
      <c r="E88" s="6" t="s">
        <v>44</v>
      </c>
      <c r="F88" s="6" t="s">
        <v>44</v>
      </c>
      <c r="G88" s="6" t="s">
        <v>44</v>
      </c>
      <c r="H88" s="6"/>
      <c r="I88" s="6" t="str">
        <f>APPRENANTS!H88</f>
        <v>190 RTE Petite route des milles 13290 AIX EN PROVENCE</v>
      </c>
      <c r="J88" s="6" t="str">
        <f>APPRENANTS!I88</f>
        <v>gilly.oliver1810@gmail.com</v>
      </c>
      <c r="K88" s="6" t="str">
        <f>APPRENANTS!J88</f>
        <v/>
      </c>
      <c r="L88" s="6" t="str">
        <f>APPRENANTS!K88</f>
        <v/>
      </c>
      <c r="M88" s="10" t="str">
        <f t="shared" si="1"/>
        <v>CV, CIN, 6 dossiers admin, Convocation examen</v>
      </c>
    </row>
    <row r="89" ht="15.0" customHeight="1">
      <c r="A89" s="6" t="str">
        <f>APPRENANTS!A89</f>
        <v>Proskills Institut</v>
      </c>
      <c r="B89" s="6" t="str">
        <f>APPRENANTS!B89</f>
        <v>GRAS Arnaud</v>
      </c>
      <c r="C89" s="6" t="str">
        <f>APPRENANTS!C89</f>
        <v>Djody</v>
      </c>
      <c r="D89" s="6" t="s">
        <v>44</v>
      </c>
      <c r="E89" s="6" t="s">
        <v>44</v>
      </c>
      <c r="F89" s="6" t="s">
        <v>44</v>
      </c>
      <c r="G89" s="6" t="s">
        <v>44</v>
      </c>
      <c r="H89" s="6"/>
      <c r="I89" s="6" t="str">
        <f>APPRENANTS!H89</f>
        <v>86 RUE francois mauriac 13010 MARSEILLE</v>
      </c>
      <c r="J89" s="6" t="str">
        <f>APPRENANTS!I89</f>
        <v>arnaudgras@hotmail.com</v>
      </c>
      <c r="K89" s="6" t="str">
        <f>APPRENANTS!J89</f>
        <v>0649516676</v>
      </c>
      <c r="L89" s="6" t="str">
        <f>APPRENANTS!K89</f>
        <v/>
      </c>
      <c r="M89" s="10" t="str">
        <f t="shared" si="1"/>
        <v>CV, CIN, 6 dossiers admin, Convocation examen</v>
      </c>
    </row>
    <row r="90" ht="15.0" customHeight="1">
      <c r="A90" s="6" t="str">
        <f>APPRENANTS!A90</f>
        <v>Proskills Institut</v>
      </c>
      <c r="B90" s="6" t="str">
        <f>APPRENANTS!B90</f>
        <v>GUILLOU Mael</v>
      </c>
      <c r="C90" s="6" t="str">
        <f>APPRENANTS!C90</f>
        <v>Sabri</v>
      </c>
      <c r="D90" s="6" t="s">
        <v>44</v>
      </c>
      <c r="E90" s="6" t="s">
        <v>44</v>
      </c>
      <c r="F90" s="6" t="s">
        <v>44</v>
      </c>
      <c r="G90" s="6" t="s">
        <v>44</v>
      </c>
      <c r="H90" s="6"/>
      <c r="I90" s="6" t="str">
        <f>APPRENANTS!H90</f>
        <v>46 RUE Résidence du bosquet 13127 VITROLLES</v>
      </c>
      <c r="J90" s="6" t="str">
        <f>APPRENANTS!I90</f>
        <v>maelguilloux@yahoo.fr</v>
      </c>
      <c r="K90" s="6" t="str">
        <f>APPRENANTS!J90</f>
        <v>0609475106</v>
      </c>
      <c r="L90" s="6" t="str">
        <f>APPRENANTS!K90</f>
        <v/>
      </c>
      <c r="M90" s="10" t="str">
        <f t="shared" si="1"/>
        <v>CV, CIN, 6 dossiers admin, Convocation examen</v>
      </c>
    </row>
    <row r="91" ht="15.0" customHeight="1">
      <c r="A91" s="6" t="str">
        <f>APPRENANTS!A91</f>
        <v>Proskills Institut</v>
      </c>
      <c r="B91" s="6" t="str">
        <f>APPRENANTS!B91</f>
        <v>GUILLOU Mael</v>
      </c>
      <c r="C91" s="6" t="str">
        <f>APPRENANTS!C91</f>
        <v>Sabri</v>
      </c>
      <c r="D91" s="6" t="s">
        <v>44</v>
      </c>
      <c r="E91" s="6" t="s">
        <v>44</v>
      </c>
      <c r="F91" s="6" t="s">
        <v>44</v>
      </c>
      <c r="G91" s="6" t="s">
        <v>44</v>
      </c>
      <c r="H91" s="6"/>
      <c r="I91" s="6" t="str">
        <f>APPRENANTS!H91</f>
        <v>46 RUE Résidence du bosquet 13127 VITROLLES</v>
      </c>
      <c r="J91" s="6" t="str">
        <f>APPRENANTS!I91</f>
        <v/>
      </c>
      <c r="K91" s="6" t="str">
        <f>APPRENANTS!J91</f>
        <v/>
      </c>
      <c r="L91" s="6" t="str">
        <f>APPRENANTS!K91</f>
        <v/>
      </c>
      <c r="M91" s="10" t="str">
        <f t="shared" si="1"/>
        <v>CV, CIN, 6 dossiers admin, Convocation examen</v>
      </c>
    </row>
    <row r="92" ht="15.0" customHeight="1">
      <c r="A92" s="6" t="str">
        <f>APPRENANTS!A92</f>
        <v>Proskills Institut</v>
      </c>
      <c r="B92" s="6" t="str">
        <f>APPRENANTS!B92</f>
        <v>AMEUR Kamel</v>
      </c>
      <c r="C92" s="6" t="str">
        <f>APPRENANTS!C92</f>
        <v>Brian</v>
      </c>
      <c r="D92" s="6" t="s">
        <v>44</v>
      </c>
      <c r="E92" s="6" t="s">
        <v>44</v>
      </c>
      <c r="F92" s="6" t="s">
        <v>44</v>
      </c>
      <c r="G92" s="6" t="s">
        <v>44</v>
      </c>
      <c r="H92" s="6"/>
      <c r="I92" s="6" t="str">
        <f>APPRENANTS!H92</f>
        <v>12 RES Rue Arthur lamendin 62430 SALLAUMINES</v>
      </c>
      <c r="J92" s="6" t="str">
        <f>APPRENANTS!I92</f>
        <v>kamel621@outlook.fr</v>
      </c>
      <c r="K92" s="6" t="str">
        <f>APPRENANTS!J92</f>
        <v>0762665937</v>
      </c>
      <c r="L92" s="6" t="str">
        <f>APPRENANTS!K92</f>
        <v/>
      </c>
      <c r="M92" s="10" t="str">
        <f t="shared" si="1"/>
        <v>CV, CIN, 6 dossiers admin, Convocation examen</v>
      </c>
    </row>
    <row r="93" ht="15.0" customHeight="1">
      <c r="A93" s="6" t="str">
        <f>APPRENANTS!A93</f>
        <v>Proskills Institut</v>
      </c>
      <c r="B93" s="6" t="str">
        <f>APPRENANTS!B93</f>
        <v>AMEUR Kamel</v>
      </c>
      <c r="C93" s="6" t="str">
        <f>APPRENANTS!C93</f>
        <v>Brian</v>
      </c>
      <c r="D93" s="6" t="s">
        <v>44</v>
      </c>
      <c r="E93" s="6" t="s">
        <v>44</v>
      </c>
      <c r="F93" s="6" t="s">
        <v>44</v>
      </c>
      <c r="G93" s="6" t="s">
        <v>44</v>
      </c>
      <c r="H93" s="6"/>
      <c r="I93" s="6" t="str">
        <f>APPRENANTS!H93</f>
        <v>12 RES Rue Arthur lamendin 62430 SALLAUMINES</v>
      </c>
      <c r="J93" s="6" t="str">
        <f>APPRENANTS!I93</f>
        <v>kamel621@outlook.fr</v>
      </c>
      <c r="K93" s="6" t="str">
        <f>APPRENANTS!J93</f>
        <v/>
      </c>
      <c r="L93" s="6" t="str">
        <f>APPRENANTS!K93</f>
        <v/>
      </c>
      <c r="M93" s="10" t="str">
        <f t="shared" si="1"/>
        <v>CV, CIN, 6 dossiers admin, Convocation examen</v>
      </c>
    </row>
    <row r="94" ht="15.0" customHeight="1">
      <c r="A94" s="6" t="str">
        <f>APPRENANTS!A94</f>
        <v>Proskills Institut</v>
      </c>
      <c r="B94" s="6" t="str">
        <f>APPRENANTS!B94</f>
        <v>LAUZERO Caroline</v>
      </c>
      <c r="C94" s="6" t="str">
        <f>APPRENANTS!C94</f>
        <v>Jules</v>
      </c>
      <c r="D94" s="6" t="s">
        <v>44</v>
      </c>
      <c r="E94" s="6" t="s">
        <v>47</v>
      </c>
      <c r="F94" s="6" t="s">
        <v>44</v>
      </c>
      <c r="G94" s="6" t="s">
        <v>44</v>
      </c>
      <c r="H94" s="6"/>
      <c r="I94" s="6" t="str">
        <f>APPRENANTS!H94</f>
        <v>75 VMIN VIEUX CHEMIN D'ISTRES 13300 SALON DE PROVENCE</v>
      </c>
      <c r="J94" s="6" t="str">
        <f>APPRENANTS!I94</f>
        <v>cclauzero@gmail.com</v>
      </c>
      <c r="K94" s="6" t="str">
        <f>APPRENANTS!J94</f>
        <v>0647572721</v>
      </c>
      <c r="L94" s="6" t="str">
        <f>APPRENANTS!K94</f>
        <v/>
      </c>
      <c r="M94" s="10" t="str">
        <f t="shared" si="1"/>
        <v>CV, 6 dossiers admin, Convocation examen</v>
      </c>
    </row>
    <row r="95" ht="15.0" customHeight="1">
      <c r="A95" s="6" t="str">
        <f>APPRENANTS!A95</f>
        <v>Proskills Institut</v>
      </c>
      <c r="B95" s="6" t="str">
        <f>APPRENANTS!B95</f>
        <v>LAUZERO Caroline</v>
      </c>
      <c r="C95" s="6" t="str">
        <f>APPRENANTS!C95</f>
        <v>Jules</v>
      </c>
      <c r="D95" s="6" t="s">
        <v>44</v>
      </c>
      <c r="E95" s="6" t="s">
        <v>47</v>
      </c>
      <c r="F95" s="6" t="s">
        <v>44</v>
      </c>
      <c r="G95" s="6" t="s">
        <v>44</v>
      </c>
      <c r="H95" s="6"/>
      <c r="I95" s="6" t="str">
        <f>APPRENANTS!H95</f>
        <v>75 VMIN VIEUX CHEMIN D'ISTRES 13300 SALON DE PROVENCE</v>
      </c>
      <c r="J95" s="6" t="str">
        <f>APPRENANTS!I95</f>
        <v/>
      </c>
      <c r="K95" s="6" t="str">
        <f>APPRENANTS!J95</f>
        <v/>
      </c>
      <c r="L95" s="6" t="str">
        <f>APPRENANTS!K95</f>
        <v/>
      </c>
      <c r="M95" s="10" t="str">
        <f t="shared" si="1"/>
        <v>CV, 6 dossiers admin, Convocation examen</v>
      </c>
    </row>
    <row r="96" ht="15.0" customHeight="1">
      <c r="A96" s="6" t="str">
        <f>APPRENANTS!A96</f>
        <v>Proskills Institut</v>
      </c>
      <c r="B96" s="6" t="str">
        <f>APPRENANTS!B96</f>
        <v>LAUZERO Caroline</v>
      </c>
      <c r="C96" s="6" t="str">
        <f>APPRENANTS!C96</f>
        <v>Jules</v>
      </c>
      <c r="D96" s="6" t="s">
        <v>44</v>
      </c>
      <c r="E96" s="6" t="s">
        <v>47</v>
      </c>
      <c r="F96" s="6" t="s">
        <v>44</v>
      </c>
      <c r="G96" s="6" t="s">
        <v>44</v>
      </c>
      <c r="H96" s="6"/>
      <c r="I96" s="6" t="str">
        <f>APPRENANTS!H96</f>
        <v>75 VMIN VIEUX CHEMIN D'ISTRES 13300 SALON DE PROVENCE</v>
      </c>
      <c r="J96" s="6" t="str">
        <f>APPRENANTS!I96</f>
        <v/>
      </c>
      <c r="K96" s="6" t="str">
        <f>APPRENANTS!J96</f>
        <v/>
      </c>
      <c r="L96" s="6" t="str">
        <f>APPRENANTS!K96</f>
        <v/>
      </c>
      <c r="M96" s="10" t="str">
        <f t="shared" si="1"/>
        <v>CV, 6 dossiers admin, Convocation examen</v>
      </c>
    </row>
    <row r="97" ht="15.0" customHeight="1">
      <c r="A97" s="6" t="str">
        <f>APPRENANTS!A97</f>
        <v>Proskills Institut</v>
      </c>
      <c r="B97" s="6" t="str">
        <f>APPRENANTS!B97</f>
        <v>HUGARD Jose</v>
      </c>
      <c r="C97" s="6" t="str">
        <f>APPRENANTS!C97</f>
        <v>Brian</v>
      </c>
      <c r="D97" s="6" t="s">
        <v>44</v>
      </c>
      <c r="E97" s="6" t="s">
        <v>47</v>
      </c>
      <c r="F97" s="6" t="s">
        <v>44</v>
      </c>
      <c r="G97" s="6" t="s">
        <v>44</v>
      </c>
      <c r="H97" s="6"/>
      <c r="I97" s="6" t="str">
        <f>APPRENANTS!H97</f>
        <v>191 RUE Voisin 62110 HENIN BEAUMONT</v>
      </c>
      <c r="J97" s="6" t="str">
        <f>APPRENANTS!I97</f>
        <v>jose.hugard62110@gmail.com</v>
      </c>
      <c r="K97" s="6" t="str">
        <f>APPRENANTS!J97</f>
        <v>0781329761</v>
      </c>
      <c r="L97" s="6" t="str">
        <f>APPRENANTS!K97</f>
        <v/>
      </c>
      <c r="M97" s="10" t="str">
        <f t="shared" si="1"/>
        <v>CV, 6 dossiers admin, Convocation examen</v>
      </c>
    </row>
    <row r="98" ht="15.0" customHeight="1">
      <c r="A98" s="6" t="str">
        <f>APPRENANTS!A98</f>
        <v>Proskills Institut</v>
      </c>
      <c r="B98" s="6" t="str">
        <f>APPRENANTS!B98</f>
        <v>HUGARD Jose</v>
      </c>
      <c r="C98" s="6" t="str">
        <f>APPRENANTS!C98</f>
        <v>Brian</v>
      </c>
      <c r="D98" s="6" t="s">
        <v>44</v>
      </c>
      <c r="E98" s="6" t="s">
        <v>47</v>
      </c>
      <c r="F98" s="6" t="s">
        <v>44</v>
      </c>
      <c r="G98" s="6" t="s">
        <v>44</v>
      </c>
      <c r="H98" s="6"/>
      <c r="I98" s="6" t="str">
        <f>APPRENANTS!H98</f>
        <v>191 RUE Voisin 62110 HENIN BEAUMONT</v>
      </c>
      <c r="J98" s="6" t="str">
        <f>APPRENANTS!I98</f>
        <v/>
      </c>
      <c r="K98" s="6" t="str">
        <f>APPRENANTS!J98</f>
        <v/>
      </c>
      <c r="L98" s="6" t="str">
        <f>APPRENANTS!K98</f>
        <v/>
      </c>
      <c r="M98" s="10" t="str">
        <f t="shared" si="1"/>
        <v>CV, 6 dossiers admin, Convocation examen</v>
      </c>
    </row>
    <row r="99" ht="15.0" customHeight="1">
      <c r="A99" s="6" t="str">
        <f>APPRENANTS!A99</f>
        <v>Proskills Institut</v>
      </c>
      <c r="B99" s="6" t="str">
        <f>APPRENANTS!B99</f>
        <v>HUGARD Jose</v>
      </c>
      <c r="C99" s="6" t="str">
        <f>APPRENANTS!C99</f>
        <v>Brian</v>
      </c>
      <c r="D99" s="6" t="s">
        <v>44</v>
      </c>
      <c r="E99" s="6" t="s">
        <v>47</v>
      </c>
      <c r="F99" s="6" t="s">
        <v>44</v>
      </c>
      <c r="G99" s="6" t="s">
        <v>44</v>
      </c>
      <c r="H99" s="6"/>
      <c r="I99" s="6" t="str">
        <f>APPRENANTS!H99</f>
        <v>191 RUE Voisin 62110 HENIN BEAUMONT</v>
      </c>
      <c r="J99" s="6" t="str">
        <f>APPRENANTS!I99</f>
        <v/>
      </c>
      <c r="K99" s="6" t="str">
        <f>APPRENANTS!J99</f>
        <v/>
      </c>
      <c r="L99" s="6" t="str">
        <f>APPRENANTS!K99</f>
        <v/>
      </c>
      <c r="M99" s="10" t="str">
        <f t="shared" si="1"/>
        <v>CV, 6 dossiers admin, Convocation examen</v>
      </c>
    </row>
    <row r="100" ht="15.0" customHeight="1">
      <c r="A100" s="6" t="str">
        <f>APPRENANTS!A100</f>
        <v>Proskills Institut</v>
      </c>
      <c r="B100" s="6" t="str">
        <f>APPRENANTS!B100</f>
        <v>GILLY Laurent</v>
      </c>
      <c r="C100" s="6" t="str">
        <f>APPRENANTS!C100</f>
        <v>Jules</v>
      </c>
      <c r="D100" s="6" t="s">
        <v>44</v>
      </c>
      <c r="E100" s="6" t="s">
        <v>44</v>
      </c>
      <c r="F100" s="6" t="s">
        <v>44</v>
      </c>
      <c r="G100" s="6" t="s">
        <v>44</v>
      </c>
      <c r="H100" s="6"/>
      <c r="I100" s="6" t="str">
        <f>APPRENANTS!H100</f>
        <v>190 RTE petite routes des milles 13290 AIX EN PROVENCE</v>
      </c>
      <c r="J100" s="6" t="str">
        <f>APPRENANTS!I100</f>
        <v>laurent@les-garcons-formations.fr</v>
      </c>
      <c r="K100" s="6" t="str">
        <f>APPRENANTS!J100</f>
        <v>0761193855</v>
      </c>
      <c r="L100" s="6" t="str">
        <f>APPRENANTS!K100</f>
        <v/>
      </c>
      <c r="M100" s="10" t="str">
        <f t="shared" si="1"/>
        <v>CV, CIN, 6 dossiers admin, Convocation examen</v>
      </c>
    </row>
    <row r="101" ht="15.0" customHeight="1">
      <c r="A101" s="6" t="str">
        <f>APPRENANTS!A101</f>
        <v>Proskills Institut</v>
      </c>
      <c r="B101" s="6" t="str">
        <f>APPRENANTS!B101</f>
        <v>GILLY Laurent</v>
      </c>
      <c r="C101" s="6" t="str">
        <f>APPRENANTS!C101</f>
        <v>Jules</v>
      </c>
      <c r="D101" s="6" t="s">
        <v>44</v>
      </c>
      <c r="E101" s="6" t="s">
        <v>44</v>
      </c>
      <c r="F101" s="6" t="s">
        <v>44</v>
      </c>
      <c r="G101" s="6" t="s">
        <v>44</v>
      </c>
      <c r="H101" s="6"/>
      <c r="I101" s="6" t="str">
        <f>APPRENANTS!H101</f>
        <v>190 RTE petite routes des milles 13290 AIX EN PROVENCE</v>
      </c>
      <c r="J101" s="6" t="str">
        <f>APPRENANTS!I101</f>
        <v/>
      </c>
      <c r="K101" s="6" t="str">
        <f>APPRENANTS!J101</f>
        <v/>
      </c>
      <c r="L101" s="6" t="str">
        <f>APPRENANTS!K101</f>
        <v/>
      </c>
      <c r="M101" s="10" t="str">
        <f t="shared" si="1"/>
        <v>CV, CIN, 6 dossiers admin, Convocation examen</v>
      </c>
    </row>
    <row r="102" ht="15.0" customHeight="1">
      <c r="A102" s="6" t="str">
        <f>APPRENANTS!A102</f>
        <v>Proskills Institut</v>
      </c>
      <c r="B102" s="6" t="str">
        <f>APPRENANTS!B102</f>
        <v>Mona Bahar</v>
      </c>
      <c r="C102" s="6" t="str">
        <f>APPRENANTS!C102</f>
        <v>frere karim</v>
      </c>
      <c r="D102" s="6" t="s">
        <v>44</v>
      </c>
      <c r="E102" s="6" t="s">
        <v>44</v>
      </c>
      <c r="F102" s="6" t="s">
        <v>44</v>
      </c>
      <c r="G102" s="6" t="s">
        <v>44</v>
      </c>
      <c r="H102" s="6"/>
      <c r="I102" s="6" t="str">
        <f>APPRENANTS!H102</f>
        <v>2 RUE André Calvin 13700 MARIGNANE</v>
      </c>
      <c r="J102" s="6" t="str">
        <f>APPRENANTS!I102</f>
        <v>monabahar@outlook.fr</v>
      </c>
      <c r="K102" s="6" t="str">
        <f>APPRENANTS!J102</f>
        <v>0783626910</v>
      </c>
      <c r="L102" s="6" t="str">
        <f>APPRENANTS!K102</f>
        <v/>
      </c>
      <c r="M102" s="10" t="str">
        <f t="shared" si="1"/>
        <v>CV, CIN, 6 dossiers admin, Convocation examen</v>
      </c>
    </row>
    <row r="103" ht="15.0" customHeight="1">
      <c r="A103" s="6" t="str">
        <f>APPRENANTS!A103</f>
        <v>Proskills Institut</v>
      </c>
      <c r="B103" s="6" t="str">
        <f>APPRENANTS!B103</f>
        <v>REIG Stephane</v>
      </c>
      <c r="C103" s="6" t="str">
        <f>APPRENANTS!C103</f>
        <v>GRAS</v>
      </c>
      <c r="D103" s="6" t="s">
        <v>44</v>
      </c>
      <c r="E103" s="6" t="s">
        <v>44</v>
      </c>
      <c r="F103" s="6" t="s">
        <v>44</v>
      </c>
      <c r="G103" s="6" t="s">
        <v>44</v>
      </c>
      <c r="H103" s="6"/>
      <c r="I103" s="6" t="str">
        <f>APPRENANTS!H103</f>
        <v>15 BD du vaissaux 13009 MARSEILLE</v>
      </c>
      <c r="J103" s="6" t="str">
        <f>APPRENANTS!I103</f>
        <v>stephane.reig1@orange.fr</v>
      </c>
      <c r="K103" s="6" t="str">
        <f>APPRENANTS!J103</f>
        <v>0615817731</v>
      </c>
      <c r="L103" s="6" t="str">
        <f>APPRENANTS!K103</f>
        <v/>
      </c>
      <c r="M103" s="10" t="str">
        <f t="shared" si="1"/>
        <v>CV, CIN, 6 dossiers admin, Convocation examen</v>
      </c>
    </row>
    <row r="104" ht="15.0" customHeight="1">
      <c r="A104" s="6" t="str">
        <f>APPRENANTS!A104</f>
        <v>Proskills Institut</v>
      </c>
      <c r="B104" s="6" t="str">
        <f>APPRENANTS!B104</f>
        <v>REIG Stephane</v>
      </c>
      <c r="C104" s="6" t="str">
        <f>APPRENANTS!C104</f>
        <v>GRAS</v>
      </c>
      <c r="D104" s="6" t="s">
        <v>44</v>
      </c>
      <c r="E104" s="6" t="s">
        <v>44</v>
      </c>
      <c r="F104" s="6" t="s">
        <v>44</v>
      </c>
      <c r="G104" s="6" t="s">
        <v>44</v>
      </c>
      <c r="H104" s="6"/>
      <c r="I104" s="6" t="str">
        <f>APPRENANTS!H104</f>
        <v>15 BD du vaissaux 13009 MARSEILLE</v>
      </c>
      <c r="J104" s="6" t="str">
        <f>APPRENANTS!I104</f>
        <v/>
      </c>
      <c r="K104" s="6" t="str">
        <f>APPRENANTS!J104</f>
        <v/>
      </c>
      <c r="L104" s="6" t="str">
        <f>APPRENANTS!K104</f>
        <v/>
      </c>
      <c r="M104" s="10" t="str">
        <f t="shared" si="1"/>
        <v>CV, CIN, 6 dossiers admin, Convocation examen</v>
      </c>
    </row>
    <row r="105" ht="15.0" customHeight="1">
      <c r="A105" s="6" t="str">
        <f>APPRENANTS!A105</f>
        <v>Proskills Institut</v>
      </c>
      <c r="B105" s="6" t="str">
        <f>APPRENANTS!B105</f>
        <v>BAHAR Achraf</v>
      </c>
      <c r="C105" s="6" t="str">
        <f>APPRENANTS!C105</f>
        <v>frere karim</v>
      </c>
      <c r="D105" s="6" t="s">
        <v>44</v>
      </c>
      <c r="E105" s="6" t="s">
        <v>44</v>
      </c>
      <c r="F105" s="6" t="s">
        <v>44</v>
      </c>
      <c r="G105" s="6" t="s">
        <v>44</v>
      </c>
      <c r="H105" s="6"/>
      <c r="I105" s="6" t="str">
        <f>APPRENANTS!H105</f>
        <v>9 IMP Impasse du gourg 13127 VITROLLES</v>
      </c>
      <c r="J105" s="6" t="str">
        <f>APPRENANTS!I105</f>
        <v>achraf.baharp@gmail.com</v>
      </c>
      <c r="K105" s="6" t="str">
        <f>APPRENANTS!J105</f>
        <v>0668689045</v>
      </c>
      <c r="L105" s="6" t="str">
        <f>APPRENANTS!K105</f>
        <v/>
      </c>
      <c r="M105" s="10" t="str">
        <f t="shared" si="1"/>
        <v>CV, CIN, 6 dossiers admin, Convocation examen</v>
      </c>
    </row>
    <row r="106" ht="15.0" customHeight="1">
      <c r="A106" s="6" t="str">
        <f>APPRENANTS!A106</f>
        <v>Proskills Institut</v>
      </c>
      <c r="B106" s="6" t="str">
        <f>APPRENANTS!B106</f>
        <v>BAHAR Achraf</v>
      </c>
      <c r="C106" s="6" t="str">
        <f>APPRENANTS!C106</f>
        <v>frere karim</v>
      </c>
      <c r="D106" s="6" t="s">
        <v>44</v>
      </c>
      <c r="E106" s="6" t="s">
        <v>44</v>
      </c>
      <c r="F106" s="6" t="s">
        <v>44</v>
      </c>
      <c r="G106" s="6" t="s">
        <v>44</v>
      </c>
      <c r="H106" s="6"/>
      <c r="I106" s="6" t="str">
        <f>APPRENANTS!H106</f>
        <v>9 IMP Impasse du gourg 13127 VITROLLES</v>
      </c>
      <c r="J106" s="6" t="str">
        <f>APPRENANTS!I106</f>
        <v/>
      </c>
      <c r="K106" s="6" t="str">
        <f>APPRENANTS!J106</f>
        <v/>
      </c>
      <c r="L106" s="6" t="str">
        <f>APPRENANTS!K106</f>
        <v/>
      </c>
      <c r="M106" s="10" t="str">
        <f t="shared" si="1"/>
        <v>CV, CIN, 6 dossiers admin, Convocation examen</v>
      </c>
    </row>
    <row r="107" ht="15.0" customHeight="1">
      <c r="A107" s="6" t="str">
        <f>APPRENANTS!A107</f>
        <v>Proskills Institut</v>
      </c>
      <c r="B107" s="6" t="str">
        <f>APPRENANTS!B107</f>
        <v>LAREF Faouzi</v>
      </c>
      <c r="C107" s="6" t="str">
        <f>APPRENANTS!C107</f>
        <v>Nedjma</v>
      </c>
      <c r="D107" s="6" t="s">
        <v>44</v>
      </c>
      <c r="E107" s="6" t="s">
        <v>44</v>
      </c>
      <c r="F107" s="6" t="s">
        <v>44</v>
      </c>
      <c r="G107" s="6" t="s">
        <v>44</v>
      </c>
      <c r="H107" s="6"/>
      <c r="I107" s="6" t="str">
        <f>APPRENANTS!H107</f>
        <v>350 BD National 13003 MARSEILLE</v>
      </c>
      <c r="J107" s="6" t="str">
        <f>APPRENANTS!I107</f>
        <v>laref.ferroudja@yahoo.fr</v>
      </c>
      <c r="K107" s="6" t="str">
        <f>APPRENANTS!J107</f>
        <v>0634554074</v>
      </c>
      <c r="L107" s="6" t="str">
        <f>APPRENANTS!K107</f>
        <v/>
      </c>
      <c r="M107" s="10" t="str">
        <f t="shared" si="1"/>
        <v>CV, CIN, 6 dossiers admin, Convocation examen</v>
      </c>
    </row>
    <row r="108" ht="15.0" customHeight="1">
      <c r="A108" s="6" t="str">
        <f>APPRENANTS!A108</f>
        <v>Proskills Institut</v>
      </c>
      <c r="B108" s="6" t="str">
        <f>APPRENANTS!B108</f>
        <v>LAREF Faouzi</v>
      </c>
      <c r="C108" s="6" t="str">
        <f>APPRENANTS!C108</f>
        <v>Nedjma</v>
      </c>
      <c r="D108" s="6" t="s">
        <v>44</v>
      </c>
      <c r="E108" s="6" t="s">
        <v>44</v>
      </c>
      <c r="F108" s="6" t="s">
        <v>44</v>
      </c>
      <c r="G108" s="6" t="s">
        <v>44</v>
      </c>
      <c r="H108" s="6"/>
      <c r="I108" s="6" t="str">
        <f>APPRENANTS!H108</f>
        <v>350 BD National 13003 MARSEILLE</v>
      </c>
      <c r="J108" s="6" t="str">
        <f>APPRENANTS!I108</f>
        <v/>
      </c>
      <c r="K108" s="6" t="str">
        <f>APPRENANTS!J108</f>
        <v/>
      </c>
      <c r="L108" s="6" t="str">
        <f>APPRENANTS!K108</f>
        <v/>
      </c>
      <c r="M108" s="10" t="str">
        <f t="shared" si="1"/>
        <v>CV, CIN, 6 dossiers admin, Convocation examen</v>
      </c>
    </row>
    <row r="109" ht="15.0" customHeight="1">
      <c r="A109" s="6" t="str">
        <f>APPRENANTS!A109</f>
        <v>Proskills Institut</v>
      </c>
      <c r="B109" s="6" t="str">
        <f>APPRENANTS!B109</f>
        <v>LAREF Faouzi</v>
      </c>
      <c r="C109" s="6" t="str">
        <f>APPRENANTS!C109</f>
        <v>Nedjma</v>
      </c>
      <c r="D109" s="6" t="s">
        <v>44</v>
      </c>
      <c r="E109" s="6" t="s">
        <v>44</v>
      </c>
      <c r="F109" s="6" t="s">
        <v>44</v>
      </c>
      <c r="G109" s="6" t="s">
        <v>44</v>
      </c>
      <c r="H109" s="6"/>
      <c r="I109" s="6" t="str">
        <f>APPRENANTS!H109</f>
        <v>350 BD National 13003 MARSEILLE</v>
      </c>
      <c r="J109" s="6" t="str">
        <f>APPRENANTS!I109</f>
        <v/>
      </c>
      <c r="K109" s="6" t="str">
        <f>APPRENANTS!J109</f>
        <v/>
      </c>
      <c r="L109" s="6" t="str">
        <f>APPRENANTS!K109</f>
        <v/>
      </c>
      <c r="M109" s="10" t="str">
        <f t="shared" si="1"/>
        <v>CV, CIN, 6 dossiers admin, Convocation examen</v>
      </c>
    </row>
    <row r="110" ht="15.0" customHeight="1">
      <c r="A110" s="6" t="str">
        <f>APPRENANTS!A110</f>
        <v>Proskills Institut</v>
      </c>
      <c r="B110" s="6" t="str">
        <f>APPRENANTS!B110</f>
        <v>SCHIANCHI Emmanuel</v>
      </c>
      <c r="C110" s="6" t="str">
        <f>APPRENANTS!C110</f>
        <v>Djody</v>
      </c>
      <c r="D110" s="6" t="s">
        <v>44</v>
      </c>
      <c r="E110" s="6" t="s">
        <v>47</v>
      </c>
      <c r="F110" s="6" t="s">
        <v>44</v>
      </c>
      <c r="G110" s="6" t="s">
        <v>44</v>
      </c>
      <c r="H110" s="6"/>
      <c r="I110" s="6" t="str">
        <f>APPRENANTS!H110</f>
        <v>24 RUE Marengo  13006 MARSEILLE</v>
      </c>
      <c r="J110" s="6" t="str">
        <f>APPRENANTS!I110</f>
        <v>manu.schianchi@gmail.com</v>
      </c>
      <c r="K110" s="6" t="str">
        <f>APPRENANTS!J110</f>
        <v>0666482176</v>
      </c>
      <c r="L110" s="6" t="str">
        <f>APPRENANTS!K110</f>
        <v/>
      </c>
      <c r="M110" s="10" t="str">
        <f t="shared" si="1"/>
        <v>CV, 6 dossiers admin, Convocation examen</v>
      </c>
    </row>
    <row r="111" ht="15.0" customHeight="1">
      <c r="A111" s="6" t="str">
        <f>APPRENANTS!A111</f>
        <v>Proskills Institut</v>
      </c>
      <c r="B111" s="6" t="str">
        <f>APPRENANTS!B111</f>
        <v>SCHIANCHI Emmanuel</v>
      </c>
      <c r="C111" s="6" t="str">
        <f>APPRENANTS!C111</f>
        <v>Djody</v>
      </c>
      <c r="D111" s="6" t="s">
        <v>44</v>
      </c>
      <c r="E111" s="6" t="s">
        <v>47</v>
      </c>
      <c r="F111" s="6" t="s">
        <v>44</v>
      </c>
      <c r="G111" s="6" t="s">
        <v>44</v>
      </c>
      <c r="H111" s="6"/>
      <c r="I111" s="6" t="str">
        <f>APPRENANTS!H111</f>
        <v>24 RUE Marengo  13006 MARSEILLE</v>
      </c>
      <c r="J111" s="6" t="str">
        <f>APPRENANTS!I111</f>
        <v/>
      </c>
      <c r="K111" s="6" t="str">
        <f>APPRENANTS!J111</f>
        <v/>
      </c>
      <c r="L111" s="6" t="str">
        <f>APPRENANTS!K111</f>
        <v/>
      </c>
      <c r="M111" s="10" t="str">
        <f t="shared" si="1"/>
        <v>CV, 6 dossiers admin, Convocation examen</v>
      </c>
    </row>
    <row r="112" ht="15.0" customHeight="1">
      <c r="A112" s="6" t="str">
        <f>APPRENANTS!A112</f>
        <v>Proskills Institut</v>
      </c>
      <c r="B112" s="6" t="str">
        <f>APPRENANTS!B112</f>
        <v>SCHIANCHI Emmanuel</v>
      </c>
      <c r="C112" s="6" t="str">
        <f>APPRENANTS!C112</f>
        <v>Djody</v>
      </c>
      <c r="D112" s="6" t="s">
        <v>44</v>
      </c>
      <c r="E112" s="6" t="s">
        <v>47</v>
      </c>
      <c r="F112" s="6" t="s">
        <v>44</v>
      </c>
      <c r="G112" s="6" t="s">
        <v>44</v>
      </c>
      <c r="H112" s="6"/>
      <c r="I112" s="6" t="str">
        <f>APPRENANTS!H112</f>
        <v>24 RUE Marengo  13006 MARSEILLE</v>
      </c>
      <c r="J112" s="6" t="str">
        <f>APPRENANTS!I112</f>
        <v/>
      </c>
      <c r="K112" s="6" t="str">
        <f>APPRENANTS!J112</f>
        <v/>
      </c>
      <c r="L112" s="6" t="str">
        <f>APPRENANTS!K112</f>
        <v/>
      </c>
      <c r="M112" s="10" t="str">
        <f t="shared" si="1"/>
        <v>CV, 6 dossiers admin, Convocation examen</v>
      </c>
    </row>
    <row r="113" ht="15.0" customHeight="1">
      <c r="A113" s="6" t="str">
        <f>APPRENANTS!A113</f>
        <v>Proskills Institut</v>
      </c>
      <c r="B113" s="6" t="str">
        <f>APPRENANTS!B113</f>
        <v>Yasmina Bessa</v>
      </c>
      <c r="C113" s="6" t="str">
        <f>APPRENANTS!C113</f>
        <v>Jean</v>
      </c>
      <c r="D113" s="6" t="s">
        <v>44</v>
      </c>
      <c r="E113" s="6" t="s">
        <v>47</v>
      </c>
      <c r="F113" s="6" t="s">
        <v>44</v>
      </c>
      <c r="G113" s="6" t="s">
        <v>44</v>
      </c>
      <c r="H113" s="6"/>
      <c r="I113" s="6" t="str">
        <f>APPRENANTS!H113</f>
        <v>52 BD Louis villecroze 13014 MARSEILLE</v>
      </c>
      <c r="J113" s="6" t="str">
        <f>APPRENANTS!I113</f>
        <v>rekika.yasmina@gmail.com</v>
      </c>
      <c r="K113" s="6" t="str">
        <f>APPRENANTS!J113</f>
        <v>0669596133</v>
      </c>
      <c r="L113" s="6" t="str">
        <f>APPRENANTS!K113</f>
        <v/>
      </c>
      <c r="M113" s="10" t="str">
        <f t="shared" si="1"/>
        <v>CV, 6 dossiers admin, Convocation examen</v>
      </c>
    </row>
    <row r="114" ht="15.0" customHeight="1">
      <c r="A114" s="6" t="str">
        <f>APPRENANTS!A114</f>
        <v>Proskills Institut</v>
      </c>
      <c r="B114" s="6" t="str">
        <f>APPRENANTS!B114</f>
        <v>Yasmina Bessa</v>
      </c>
      <c r="C114" s="6" t="str">
        <f>APPRENANTS!C114</f>
        <v>Jean</v>
      </c>
      <c r="D114" s="6" t="s">
        <v>44</v>
      </c>
      <c r="E114" s="6" t="s">
        <v>47</v>
      </c>
      <c r="F114" s="6" t="s">
        <v>44</v>
      </c>
      <c r="G114" s="6" t="s">
        <v>44</v>
      </c>
      <c r="H114" s="6"/>
      <c r="I114" s="6" t="str">
        <f>APPRENANTS!H114</f>
        <v>52 BD Louis villecroze 13014 MARSEILLE</v>
      </c>
      <c r="J114" s="6" t="str">
        <f>APPRENANTS!I114</f>
        <v/>
      </c>
      <c r="K114" s="6" t="str">
        <f>APPRENANTS!J114</f>
        <v/>
      </c>
      <c r="L114" s="6" t="str">
        <f>APPRENANTS!K114</f>
        <v/>
      </c>
      <c r="M114" s="10" t="str">
        <f t="shared" si="1"/>
        <v>CV, 6 dossiers admin, Convocation examen</v>
      </c>
    </row>
    <row r="115" ht="15.0" customHeight="1">
      <c r="A115" s="6" t="str">
        <f>APPRENANTS!A115</f>
        <v>Proskills Institut</v>
      </c>
      <c r="B115" s="6" t="str">
        <f>APPRENANTS!B115</f>
        <v>Lyess Mohamed</v>
      </c>
      <c r="C115" s="6" t="str">
        <f>APPRENANTS!C115</f>
        <v>Jean</v>
      </c>
      <c r="D115" s="6" t="s">
        <v>44</v>
      </c>
      <c r="E115" s="6" t="s">
        <v>44</v>
      </c>
      <c r="F115" s="6" t="s">
        <v>44</v>
      </c>
      <c r="G115" s="6" t="s">
        <v>44</v>
      </c>
      <c r="H115" s="6"/>
      <c r="I115" s="6" t="str">
        <f>APPRENANTS!H115</f>
        <v>32 TRA De gibbes 13003 MARSEILLE</v>
      </c>
      <c r="J115" s="6" t="str">
        <f>APPRENANTS!I115</f>
        <v>lyessm210711@gmail.com</v>
      </c>
      <c r="K115" s="6" t="str">
        <f>APPRENANTS!J115</f>
        <v>0761703962</v>
      </c>
      <c r="L115" s="6" t="str">
        <f>APPRENANTS!K115</f>
        <v/>
      </c>
      <c r="M115" s="10" t="str">
        <f t="shared" si="1"/>
        <v>CV, CIN, 6 dossiers admin, Convocation examen</v>
      </c>
    </row>
    <row r="116" ht="15.0" customHeight="1">
      <c r="A116" s="6" t="str">
        <f>APPRENANTS!A116</f>
        <v>Proskills Institut</v>
      </c>
      <c r="B116" s="6" t="str">
        <f>APPRENANTS!B116</f>
        <v>BASCUNANA Jean-Christophe</v>
      </c>
      <c r="C116" s="6" t="str">
        <f>APPRENANTS!C116</f>
        <v/>
      </c>
      <c r="D116" s="6" t="s">
        <v>44</v>
      </c>
      <c r="E116" s="6" t="s">
        <v>47</v>
      </c>
      <c r="F116" s="6" t="s">
        <v>44</v>
      </c>
      <c r="G116" s="6" t="s">
        <v>44</v>
      </c>
      <c r="H116" s="6"/>
      <c r="I116" s="6" t="str">
        <f>APPRENANTS!H116</f>
        <v>14 AV Fuveau 13013 MARSEILLE</v>
      </c>
      <c r="J116" s="6" t="str">
        <f>APPRENANTS!I116</f>
        <v>jcbascunana@gmail.com</v>
      </c>
      <c r="K116" s="6" t="str">
        <f>APPRENANTS!J116</f>
        <v>0623704619</v>
      </c>
      <c r="L116" s="6" t="str">
        <f>APPRENANTS!K116</f>
        <v/>
      </c>
      <c r="M116" s="10" t="str">
        <f t="shared" si="1"/>
        <v>CV, 6 dossiers admin, Convocation examen</v>
      </c>
    </row>
    <row r="117" ht="15.0" customHeight="1">
      <c r="A117" s="6" t="str">
        <f>APPRENANTS!A117</f>
        <v>Proskills Institut</v>
      </c>
      <c r="B117" s="6" t="str">
        <f>APPRENANTS!B117</f>
        <v>BASCUNANA Jean-Christophe</v>
      </c>
      <c r="C117" s="6" t="str">
        <f>APPRENANTS!C117</f>
        <v/>
      </c>
      <c r="D117" s="6" t="s">
        <v>44</v>
      </c>
      <c r="E117" s="6" t="s">
        <v>47</v>
      </c>
      <c r="F117" s="6" t="s">
        <v>44</v>
      </c>
      <c r="G117" s="6" t="s">
        <v>44</v>
      </c>
      <c r="H117" s="6"/>
      <c r="I117" s="6" t="str">
        <f>APPRENANTS!H117</f>
        <v>14 AV Fuveau 13013 MARSEILLE</v>
      </c>
      <c r="J117" s="6" t="str">
        <f>APPRENANTS!I117</f>
        <v>jcbascunana@gmail.com</v>
      </c>
      <c r="K117" s="6" t="str">
        <f>APPRENANTS!J117</f>
        <v/>
      </c>
      <c r="L117" s="6" t="str">
        <f>APPRENANTS!K117</f>
        <v/>
      </c>
      <c r="M117" s="10" t="str">
        <f t="shared" si="1"/>
        <v>CV, 6 dossiers admin, Convocation examen</v>
      </c>
    </row>
    <row r="118" ht="15.0" customHeight="1">
      <c r="A118" s="6" t="str">
        <f>APPRENANTS!A118</f>
        <v>Proskills Institut</v>
      </c>
      <c r="B118" s="6" t="str">
        <f>APPRENANTS!B118</f>
        <v>BASCUNANA Jean-Christophe</v>
      </c>
      <c r="C118" s="6" t="str">
        <f>APPRENANTS!C118</f>
        <v/>
      </c>
      <c r="D118" s="6" t="s">
        <v>44</v>
      </c>
      <c r="E118" s="6" t="s">
        <v>47</v>
      </c>
      <c r="F118" s="6" t="s">
        <v>44</v>
      </c>
      <c r="G118" s="6" t="s">
        <v>44</v>
      </c>
      <c r="H118" s="6"/>
      <c r="I118" s="6" t="str">
        <f>APPRENANTS!H118</f>
        <v>14 AV Fuveau 13013 MARSEILLE</v>
      </c>
      <c r="J118" s="6" t="str">
        <f>APPRENANTS!I118</f>
        <v>jcbascunana@gmail.com</v>
      </c>
      <c r="K118" s="6" t="str">
        <f>APPRENANTS!J118</f>
        <v/>
      </c>
      <c r="L118" s="6" t="str">
        <f>APPRENANTS!K118</f>
        <v/>
      </c>
      <c r="M118" s="10" t="str">
        <f t="shared" si="1"/>
        <v>CV, 6 dossiers admin, Convocation examen</v>
      </c>
    </row>
    <row r="119" ht="15.0" customHeight="1">
      <c r="A119" s="6" t="str">
        <f>APPRENANTS!A119</f>
        <v>Proskills Institut</v>
      </c>
      <c r="B119" s="6" t="str">
        <f>APPRENANTS!B119</f>
        <v>BUIDIN Michael</v>
      </c>
      <c r="C119" s="6" t="str">
        <f>APPRENANTS!C119</f>
        <v>frere karim</v>
      </c>
      <c r="D119" s="6" t="s">
        <v>44</v>
      </c>
      <c r="E119" s="6" t="s">
        <v>44</v>
      </c>
      <c r="F119" s="6" t="s">
        <v>44</v>
      </c>
      <c r="G119" s="6" t="s">
        <v>44</v>
      </c>
      <c r="H119" s="6"/>
      <c r="I119" s="6" t="str">
        <f>APPRENANTS!H119</f>
        <v>17 RUE Marquis de condorcet 13700 MARIGNANE</v>
      </c>
      <c r="J119" s="6" t="str">
        <f>APPRENANTS!I119</f>
        <v>michael.om.dd@live.fr</v>
      </c>
      <c r="K119" s="6" t="str">
        <f>APPRENANTS!J119</f>
        <v>0622744148</v>
      </c>
      <c r="L119" s="6" t="str">
        <f>APPRENANTS!K119</f>
        <v/>
      </c>
      <c r="M119" s="10" t="str">
        <f t="shared" si="1"/>
        <v>CV, CIN, 6 dossiers admin, Convocation examen</v>
      </c>
    </row>
    <row r="120" ht="15.0" customHeight="1">
      <c r="A120" s="6" t="str">
        <f>APPRENANTS!A120</f>
        <v>Proskills Institut</v>
      </c>
      <c r="B120" s="6" t="str">
        <f>APPRENANTS!B120</f>
        <v>BUIDIN Michael</v>
      </c>
      <c r="C120" s="6" t="str">
        <f>APPRENANTS!C120</f>
        <v>frere karim</v>
      </c>
      <c r="D120" s="6" t="s">
        <v>44</v>
      </c>
      <c r="E120" s="6" t="s">
        <v>44</v>
      </c>
      <c r="F120" s="6" t="s">
        <v>44</v>
      </c>
      <c r="G120" s="6" t="s">
        <v>44</v>
      </c>
      <c r="H120" s="6"/>
      <c r="I120" s="6" t="str">
        <f>APPRENANTS!H120</f>
        <v/>
      </c>
      <c r="J120" s="6" t="str">
        <f>APPRENANTS!I120</f>
        <v/>
      </c>
      <c r="K120" s="6" t="str">
        <f>APPRENANTS!J120</f>
        <v/>
      </c>
      <c r="L120" s="6" t="str">
        <f>APPRENANTS!K120</f>
        <v/>
      </c>
      <c r="M120" s="10" t="str">
        <f t="shared" si="1"/>
        <v>CV, CIN, 6 dossiers admin, Convocation examen</v>
      </c>
    </row>
    <row r="121" ht="15.0" customHeight="1">
      <c r="A121" s="6" t="str">
        <f>APPRENANTS!A121</f>
        <v>Proskills Institut</v>
      </c>
      <c r="B121" s="6" t="str">
        <f>APPRENANTS!B121</f>
        <v>BUIDIN Michael</v>
      </c>
      <c r="C121" s="6" t="str">
        <f>APPRENANTS!C121</f>
        <v>frere karim</v>
      </c>
      <c r="D121" s="6" t="s">
        <v>44</v>
      </c>
      <c r="E121" s="6" t="s">
        <v>44</v>
      </c>
      <c r="F121" s="6" t="s">
        <v>44</v>
      </c>
      <c r="G121" s="6" t="s">
        <v>44</v>
      </c>
      <c r="H121" s="6"/>
      <c r="I121" s="6" t="str">
        <f>APPRENANTS!H121</f>
        <v/>
      </c>
      <c r="J121" s="6" t="str">
        <f>APPRENANTS!I121</f>
        <v/>
      </c>
      <c r="K121" s="6" t="str">
        <f>APPRENANTS!J121</f>
        <v/>
      </c>
      <c r="L121" s="6" t="str">
        <f>APPRENANTS!K121</f>
        <v/>
      </c>
      <c r="M121" s="10" t="str">
        <f t="shared" si="1"/>
        <v>CV, CIN, 6 dossiers admin, Convocation examen</v>
      </c>
    </row>
    <row r="122" ht="15.0" customHeight="1">
      <c r="A122" s="6" t="str">
        <f>APPRENANTS!A122</f>
        <v>Proskills Institut</v>
      </c>
      <c r="B122" s="6" t="str">
        <f>APPRENANTS!B122</f>
        <v>JIMENEZ Joris</v>
      </c>
      <c r="C122" s="6" t="str">
        <f>APPRENANTS!C122</f>
        <v>frere karim</v>
      </c>
      <c r="D122" s="6" t="s">
        <v>44</v>
      </c>
      <c r="E122" s="6" t="s">
        <v>44</v>
      </c>
      <c r="F122" s="6" t="s">
        <v>44</v>
      </c>
      <c r="G122" s="6" t="s">
        <v>44</v>
      </c>
      <c r="H122" s="6"/>
      <c r="I122" s="6" t="str">
        <f>APPRENANTS!H122</f>
        <v>370 PARC Parc des amandiers 13170 LES PENNES MIRABEAU</v>
      </c>
      <c r="J122" s="6" t="str">
        <f>APPRENANTS!I122</f>
        <v>Jorisjimenez@outlook.fr</v>
      </c>
      <c r="K122" s="6" t="str">
        <f>APPRENANTS!J122</f>
        <v>0777754770</v>
      </c>
      <c r="L122" s="6" t="str">
        <f>APPRENANTS!K122</f>
        <v/>
      </c>
      <c r="M122" s="10" t="str">
        <f t="shared" si="1"/>
        <v>CV, CIN, 6 dossiers admin, Convocation examen</v>
      </c>
    </row>
    <row r="123" ht="15.0" customHeight="1">
      <c r="A123" s="6" t="str">
        <f>APPRENANTS!A123</f>
        <v>Proskills Institut</v>
      </c>
      <c r="B123" s="6" t="str">
        <f>APPRENANTS!B123</f>
        <v>JIMENEZ Joris</v>
      </c>
      <c r="C123" s="6" t="str">
        <f>APPRENANTS!C123</f>
        <v>frere karim</v>
      </c>
      <c r="D123" s="6" t="s">
        <v>44</v>
      </c>
      <c r="E123" s="6" t="s">
        <v>44</v>
      </c>
      <c r="F123" s="6" t="s">
        <v>44</v>
      </c>
      <c r="G123" s="6" t="s">
        <v>44</v>
      </c>
      <c r="H123" s="6"/>
      <c r="I123" s="6" t="str">
        <f>APPRENANTS!H123</f>
        <v>370 PARC Parc des amandiers 13170 LES PENNES MIRABEAU</v>
      </c>
      <c r="J123" s="6" t="str">
        <f>APPRENANTS!I123</f>
        <v>Jorisjimenez@outlook.fr</v>
      </c>
      <c r="K123" s="6" t="str">
        <f>APPRENANTS!J123</f>
        <v/>
      </c>
      <c r="L123" s="6" t="str">
        <f>APPRENANTS!K123</f>
        <v/>
      </c>
      <c r="M123" s="10" t="str">
        <f t="shared" si="1"/>
        <v>CV, CIN, 6 dossiers admin, Convocation examen</v>
      </c>
    </row>
    <row r="124" ht="15.0" customHeight="1">
      <c r="A124" s="6" t="str">
        <f>APPRENANTS!A124</f>
        <v>Proskills Institut</v>
      </c>
      <c r="B124" s="6" t="str">
        <f>APPRENANTS!B124</f>
        <v>MERAH Sarah</v>
      </c>
      <c r="C124" s="6" t="str">
        <f>APPRENANTS!C124</f>
        <v>Jean</v>
      </c>
      <c r="D124" s="6" t="s">
        <v>44</v>
      </c>
      <c r="E124" s="6" t="s">
        <v>44</v>
      </c>
      <c r="F124" s="6" t="s">
        <v>44</v>
      </c>
      <c r="G124" s="6" t="s">
        <v>44</v>
      </c>
      <c r="H124" s="6"/>
      <c r="I124" s="6" t="str">
        <f>APPRENANTS!H124</f>
        <v>75 RUE De la joliette 13002 MARSEILLE</v>
      </c>
      <c r="J124" s="6" t="str">
        <f>APPRENANTS!I124</f>
        <v>sarirou@icloud.com</v>
      </c>
      <c r="K124" s="6" t="str">
        <f>APPRENANTS!J124</f>
        <v>0698791399</v>
      </c>
      <c r="L124" s="6" t="str">
        <f>APPRENANTS!K124</f>
        <v/>
      </c>
      <c r="M124" s="10" t="str">
        <f t="shared" si="1"/>
        <v>CV, CIN, 6 dossiers admin, Convocation examen</v>
      </c>
    </row>
    <row r="125" ht="15.0" customHeight="1">
      <c r="A125" s="6" t="str">
        <f>APPRENANTS!A125</f>
        <v>Proskills Institut</v>
      </c>
      <c r="B125" s="6" t="str">
        <f>APPRENANTS!B125</f>
        <v>TORRES Aurore</v>
      </c>
      <c r="C125" s="6" t="str">
        <f>APPRENANTS!C125</f>
        <v>GRAS</v>
      </c>
      <c r="D125" s="6" t="s">
        <v>44</v>
      </c>
      <c r="E125" s="6" t="s">
        <v>44</v>
      </c>
      <c r="F125" s="6" t="s">
        <v>44</v>
      </c>
      <c r="G125" s="6" t="s">
        <v>44</v>
      </c>
      <c r="H125" s="6"/>
      <c r="I125" s="6" t="str">
        <f>APPRENANTS!H125</f>
        <v>AV Batistin raphael 13240 SEPTEMES LES VALLONS</v>
      </c>
      <c r="J125" s="6" t="str">
        <f>APPRENANTS!I125</f>
        <v>laurette13240@hotmail.fr</v>
      </c>
      <c r="K125" s="6" t="str">
        <f>APPRENANTS!J125</f>
        <v>0660080861</v>
      </c>
      <c r="L125" s="6" t="str">
        <f>APPRENANTS!K125</f>
        <v/>
      </c>
      <c r="M125" s="10" t="str">
        <f t="shared" si="1"/>
        <v>CV, CIN, 6 dossiers admin, Convocation examen</v>
      </c>
    </row>
    <row r="126" ht="15.0" customHeight="1">
      <c r="A126" s="6" t="str">
        <f>APPRENANTS!A126</f>
        <v>Proskills Institut</v>
      </c>
      <c r="B126" s="6" t="str">
        <f>APPRENANTS!B126</f>
        <v>MAKHLOUF Ahmed</v>
      </c>
      <c r="C126" s="6" t="str">
        <f>APPRENANTS!C126</f>
        <v>Sabri</v>
      </c>
      <c r="D126" s="6" t="s">
        <v>44</v>
      </c>
      <c r="E126" s="6" t="s">
        <v>44</v>
      </c>
      <c r="F126" s="6" t="s">
        <v>44</v>
      </c>
      <c r="G126" s="6" t="s">
        <v>44</v>
      </c>
      <c r="H126" s="6"/>
      <c r="I126" s="6" t="str">
        <f>APPRENANTS!H126</f>
        <v>RUE Des galaxies 13015 MARSEILLE</v>
      </c>
      <c r="J126" s="6" t="str">
        <f>APPRENANTS!I126</f>
        <v>makamed@laposte.net</v>
      </c>
      <c r="K126" s="6" t="str">
        <f>APPRENANTS!J126</f>
        <v>0616135827</v>
      </c>
      <c r="L126" s="6" t="str">
        <f>APPRENANTS!K126</f>
        <v/>
      </c>
      <c r="M126" s="10" t="str">
        <f t="shared" si="1"/>
        <v>CV, CIN, 6 dossiers admin, Convocation examen</v>
      </c>
    </row>
    <row r="127" ht="15.0" customHeight="1">
      <c r="A127" s="6" t="str">
        <f>APPRENANTS!A127</f>
        <v>Proskills Institut</v>
      </c>
      <c r="B127" s="6" t="str">
        <f>APPRENANTS!B127</f>
        <v>MAKHLOUF Ahmed</v>
      </c>
      <c r="C127" s="6" t="str">
        <f>APPRENANTS!C127</f>
        <v>Sabri</v>
      </c>
      <c r="D127" s="6" t="s">
        <v>44</v>
      </c>
      <c r="E127" s="6" t="s">
        <v>44</v>
      </c>
      <c r="F127" s="6" t="s">
        <v>44</v>
      </c>
      <c r="G127" s="6" t="s">
        <v>44</v>
      </c>
      <c r="H127" s="6"/>
      <c r="I127" s="6" t="str">
        <f>APPRENANTS!H127</f>
        <v/>
      </c>
      <c r="J127" s="6" t="str">
        <f>APPRENANTS!I127</f>
        <v/>
      </c>
      <c r="K127" s="6" t="str">
        <f>APPRENANTS!J127</f>
        <v/>
      </c>
      <c r="L127" s="6" t="str">
        <f>APPRENANTS!K127</f>
        <v/>
      </c>
      <c r="M127" s="10" t="str">
        <f t="shared" si="1"/>
        <v>CV, CIN, 6 dossiers admin, Convocation examen</v>
      </c>
    </row>
    <row r="128" ht="15.0" customHeight="1">
      <c r="A128" s="6" t="str">
        <f>APPRENANTS!A128</f>
        <v>Proskills Institut</v>
      </c>
      <c r="B128" s="6" t="str">
        <f>APPRENANTS!B128</f>
        <v>MAKHLOUF Ahmed</v>
      </c>
      <c r="C128" s="6" t="str">
        <f>APPRENANTS!C128</f>
        <v>Sabri</v>
      </c>
      <c r="D128" s="6" t="s">
        <v>44</v>
      </c>
      <c r="E128" s="6" t="s">
        <v>44</v>
      </c>
      <c r="F128" s="6" t="s">
        <v>44</v>
      </c>
      <c r="G128" s="6" t="s">
        <v>44</v>
      </c>
      <c r="H128" s="6"/>
      <c r="I128" s="6" t="str">
        <f>APPRENANTS!H128</f>
        <v/>
      </c>
      <c r="J128" s="6" t="str">
        <f>APPRENANTS!I128</f>
        <v/>
      </c>
      <c r="K128" s="6" t="str">
        <f>APPRENANTS!J128</f>
        <v/>
      </c>
      <c r="L128" s="6" t="str">
        <f>APPRENANTS!K128</f>
        <v/>
      </c>
      <c r="M128" s="10" t="str">
        <f t="shared" si="1"/>
        <v>CV, CIN, 6 dossiers admin, Convocation examen</v>
      </c>
    </row>
    <row r="129" ht="15.0" customHeight="1">
      <c r="A129" s="6" t="str">
        <f>APPRENANTS!A129</f>
        <v>Proskills Institut</v>
      </c>
      <c r="B129" s="6" t="str">
        <f>APPRENANTS!B129</f>
        <v>BOUMEZIOUD Nassim</v>
      </c>
      <c r="C129" s="6" t="str">
        <f>APPRENANTS!C129</f>
        <v>Sabri</v>
      </c>
      <c r="D129" s="6" t="s">
        <v>44</v>
      </c>
      <c r="E129" s="6" t="s">
        <v>44</v>
      </c>
      <c r="F129" s="6" t="s">
        <v>44</v>
      </c>
      <c r="G129" s="6" t="s">
        <v>44</v>
      </c>
      <c r="H129" s="6"/>
      <c r="I129" s="6" t="str">
        <f>APPRENANTS!H129</f>
        <v>2 RUE Rue Jaume 13220 CHATEAUNEUF LES MARTIGUES</v>
      </c>
      <c r="J129" s="6" t="str">
        <f>APPRENANTS!I129</f>
        <v>nassimboumezioud@gmail.com</v>
      </c>
      <c r="K129" s="6" t="str">
        <f>APPRENANTS!J129</f>
        <v>0625126277</v>
      </c>
      <c r="L129" s="6" t="str">
        <f>APPRENANTS!K129</f>
        <v/>
      </c>
      <c r="M129" s="10" t="str">
        <f t="shared" si="1"/>
        <v>CV, CIN, 6 dossiers admin, Convocation examen</v>
      </c>
    </row>
    <row r="130" ht="15.0" customHeight="1">
      <c r="A130" s="6" t="str">
        <f>APPRENANTS!A130</f>
        <v>Proskills Institut</v>
      </c>
      <c r="B130" s="6" t="str">
        <f>APPRENANTS!B130</f>
        <v>BOUMEZIOUD Nassim</v>
      </c>
      <c r="C130" s="6" t="str">
        <f>APPRENANTS!C130</f>
        <v>Sabri</v>
      </c>
      <c r="D130" s="6" t="s">
        <v>44</v>
      </c>
      <c r="E130" s="6" t="s">
        <v>44</v>
      </c>
      <c r="F130" s="6" t="s">
        <v>44</v>
      </c>
      <c r="G130" s="6" t="s">
        <v>44</v>
      </c>
      <c r="H130" s="6"/>
      <c r="I130" s="6" t="str">
        <f>APPRENANTS!H130</f>
        <v/>
      </c>
      <c r="J130" s="6" t="str">
        <f>APPRENANTS!I130</f>
        <v/>
      </c>
      <c r="K130" s="6" t="str">
        <f>APPRENANTS!J130</f>
        <v/>
      </c>
      <c r="L130" s="6" t="str">
        <f>APPRENANTS!K130</f>
        <v/>
      </c>
      <c r="M130" s="10" t="str">
        <f t="shared" si="1"/>
        <v>CV, CIN, 6 dossiers admin, Convocation examen</v>
      </c>
    </row>
    <row r="131" ht="15.0" customHeight="1">
      <c r="A131" s="6" t="str">
        <f>APPRENANTS!A131</f>
        <v>Proskills Institut</v>
      </c>
      <c r="B131" s="6" t="str">
        <f>APPRENANTS!B131</f>
        <v>ESPINEIRA Bryan</v>
      </c>
      <c r="C131" s="6" t="str">
        <f>APPRENANTS!C131</f>
        <v>Djody</v>
      </c>
      <c r="D131" s="6" t="s">
        <v>44</v>
      </c>
      <c r="E131" s="6" t="s">
        <v>44</v>
      </c>
      <c r="F131" s="6" t="s">
        <v>44</v>
      </c>
      <c r="G131" s="6" t="s">
        <v>44</v>
      </c>
      <c r="H131" s="6"/>
      <c r="I131" s="6" t="str">
        <f>APPRENANTS!H131</f>
        <v>4 IMP Florent Evrard 62220 CARVIN</v>
      </c>
      <c r="J131" s="6" t="str">
        <f>APPRENANTS!I131</f>
        <v>espineira.b@gmail.com</v>
      </c>
      <c r="K131" s="6" t="str">
        <f>APPRENANTS!J131</f>
        <v>0663741170</v>
      </c>
      <c r="L131" s="6" t="str">
        <f>APPRENANTS!K131</f>
        <v/>
      </c>
      <c r="M131" s="10" t="str">
        <f t="shared" si="1"/>
        <v>CV, CIN, 6 dossiers admin, Convocation examen</v>
      </c>
    </row>
    <row r="132" ht="15.0" customHeight="1">
      <c r="A132" s="6" t="str">
        <f>APPRENANTS!A132</f>
        <v>Proskills Institut</v>
      </c>
      <c r="B132" s="6" t="str">
        <f>APPRENANTS!B132</f>
        <v>EL ARBAOUI Salwa</v>
      </c>
      <c r="C132" s="6" t="str">
        <f>APPRENANTS!C132</f>
        <v>Djody</v>
      </c>
      <c r="D132" s="6" t="s">
        <v>44</v>
      </c>
      <c r="E132" s="6" t="s">
        <v>44</v>
      </c>
      <c r="F132" s="6" t="s">
        <v>44</v>
      </c>
      <c r="G132" s="6" t="s">
        <v>44</v>
      </c>
      <c r="H132" s="6"/>
      <c r="I132" s="6" t="str">
        <f>APPRENANTS!H132</f>
        <v>70 RUE Glenmor 35410 CHATEAUGIRON</v>
      </c>
      <c r="J132" s="6" t="str">
        <f>APPRENANTS!I132</f>
        <v>salwaelarbaoui@gmail.com</v>
      </c>
      <c r="K132" s="6" t="str">
        <f>APPRENANTS!J132</f>
        <v>767868281</v>
      </c>
      <c r="L132" s="6" t="str">
        <f>APPRENANTS!K132</f>
        <v/>
      </c>
      <c r="M132" s="10" t="str">
        <f t="shared" si="1"/>
        <v>CV, CIN, 6 dossiers admin, Convocation examen</v>
      </c>
    </row>
    <row r="133" ht="15.0" customHeight="1">
      <c r="A133" s="6" t="str">
        <f>APPRENANTS!A133</f>
        <v>Proskills Institut</v>
      </c>
      <c r="B133" s="6" t="str">
        <f>APPRENANTS!B133</f>
        <v>MAECHA Ismail</v>
      </c>
      <c r="C133" s="6" t="str">
        <f>APPRENANTS!C133</f>
        <v>Sabri</v>
      </c>
      <c r="D133" s="6" t="s">
        <v>44</v>
      </c>
      <c r="E133" s="6" t="s">
        <v>44</v>
      </c>
      <c r="F133" s="6" t="s">
        <v>44</v>
      </c>
      <c r="G133" s="6" t="s">
        <v>44</v>
      </c>
      <c r="H133" s="6"/>
      <c r="I133" s="6" t="str">
        <f>APPRENANTS!H133</f>
        <v>17 QUA 17 rue Lucien rolmer 13003 MARSEILLE</v>
      </c>
      <c r="J133" s="6" t="str">
        <f>APPRENANTS!I133</f>
        <v>ismasaifi@outlook.fr</v>
      </c>
      <c r="K133" s="6" t="str">
        <f>APPRENANTS!J133</f>
        <v>0668612858</v>
      </c>
      <c r="L133" s="6" t="str">
        <f>APPRENANTS!K133</f>
        <v/>
      </c>
      <c r="M133" s="10" t="str">
        <f t="shared" si="1"/>
        <v>CV, CIN, 6 dossiers admin, Convocation examen</v>
      </c>
    </row>
    <row r="134" ht="15.0" customHeight="1">
      <c r="A134" s="6" t="str">
        <f>APPRENANTS!A134</f>
        <v>Proskills Institut</v>
      </c>
      <c r="B134" s="6" t="str">
        <f>APPRENANTS!B134</f>
        <v>MAECHA Ismail</v>
      </c>
      <c r="C134" s="6" t="str">
        <f>APPRENANTS!C134</f>
        <v>Sabri</v>
      </c>
      <c r="D134" s="6" t="s">
        <v>44</v>
      </c>
      <c r="E134" s="6" t="s">
        <v>44</v>
      </c>
      <c r="F134" s="6" t="s">
        <v>44</v>
      </c>
      <c r="G134" s="6" t="s">
        <v>44</v>
      </c>
      <c r="H134" s="6"/>
      <c r="I134" s="6" t="str">
        <f>APPRENANTS!H134</f>
        <v>17 QUA 17 rue Lucien rolmer 13003 MARSEILLE</v>
      </c>
      <c r="J134" s="6" t="str">
        <f>APPRENANTS!I134</f>
        <v/>
      </c>
      <c r="K134" s="6" t="str">
        <f>APPRENANTS!J134</f>
        <v/>
      </c>
      <c r="L134" s="6" t="str">
        <f>APPRENANTS!K134</f>
        <v/>
      </c>
      <c r="M134" s="10" t="str">
        <f t="shared" si="1"/>
        <v>CV, CIN, 6 dossiers admin, Convocation examen</v>
      </c>
    </row>
    <row r="135" ht="15.0" customHeight="1">
      <c r="A135" s="6" t="str">
        <f>APPRENANTS!A135</f>
        <v>Proskills Institut</v>
      </c>
      <c r="B135" s="6" t="str">
        <f>APPRENANTS!B135</f>
        <v>VARDANYAN Irina</v>
      </c>
      <c r="C135" s="6" t="str">
        <f>APPRENANTS!C135</f>
        <v>Sabri</v>
      </c>
      <c r="D135" s="6" t="s">
        <v>44</v>
      </c>
      <c r="E135" s="6" t="s">
        <v>44</v>
      </c>
      <c r="F135" s="6" t="s">
        <v>44</v>
      </c>
      <c r="G135" s="6" t="s">
        <v>44</v>
      </c>
      <c r="H135" s="6"/>
      <c r="I135" s="6" t="str">
        <f>APPRENANTS!H135</f>
        <v>24 RUE Marengo  13006 MARSEILLE</v>
      </c>
      <c r="J135" s="6" t="str">
        <f>APPRENANTS!I135</f>
        <v>manu.schianchi@gmail.com</v>
      </c>
      <c r="K135" s="6" t="str">
        <f>APPRENANTS!J135</f>
        <v>0666482176</v>
      </c>
      <c r="L135" s="6" t="str">
        <f>APPRENANTS!K135</f>
        <v/>
      </c>
      <c r="M135" s="10" t="str">
        <f t="shared" si="1"/>
        <v>CV, CIN, 6 dossiers admin, Convocation examen</v>
      </c>
    </row>
    <row r="136" ht="15.0" customHeight="1">
      <c r="A136" s="6" t="str">
        <f>APPRENANTS!A136</f>
        <v>Proskills Institut</v>
      </c>
      <c r="B136" s="6" t="str">
        <f>APPRENANTS!B136</f>
        <v>VARDANYAN Irina</v>
      </c>
      <c r="C136" s="6" t="str">
        <f>APPRENANTS!C136</f>
        <v>Sabri</v>
      </c>
      <c r="D136" s="6" t="s">
        <v>44</v>
      </c>
      <c r="E136" s="6" t="s">
        <v>44</v>
      </c>
      <c r="F136" s="6" t="s">
        <v>44</v>
      </c>
      <c r="G136" s="6" t="s">
        <v>44</v>
      </c>
      <c r="H136" s="6"/>
      <c r="I136" s="6" t="str">
        <f>APPRENANTS!H136</f>
        <v>24 RUE Marengo  13006 MARSEILLE</v>
      </c>
      <c r="J136" s="6" t="str">
        <f>APPRENANTS!I136</f>
        <v/>
      </c>
      <c r="K136" s="6" t="str">
        <f>APPRENANTS!J136</f>
        <v/>
      </c>
      <c r="L136" s="6" t="str">
        <f>APPRENANTS!K136</f>
        <v/>
      </c>
      <c r="M136" s="10" t="str">
        <f t="shared" si="1"/>
        <v>CV, CIN, 6 dossiers admin, Convocation examen</v>
      </c>
    </row>
    <row r="137" ht="15.0" customHeight="1">
      <c r="A137" s="6" t="str">
        <f>APPRENANTS!A137</f>
        <v>Proskills Institut</v>
      </c>
      <c r="B137" s="6" t="str">
        <f>APPRENANTS!B137</f>
        <v>BIANCO Sebastien</v>
      </c>
      <c r="C137" s="6" t="str">
        <f>APPRENANTS!C137</f>
        <v>Djody</v>
      </c>
      <c r="D137" s="6" t="s">
        <v>44</v>
      </c>
      <c r="E137" s="6" t="s">
        <v>44</v>
      </c>
      <c r="F137" s="6" t="s">
        <v>44</v>
      </c>
      <c r="G137" s="6" t="s">
        <v>44</v>
      </c>
      <c r="H137" s="6"/>
      <c r="I137" s="6" t="str">
        <f>APPRENANTS!H137</f>
        <v>en attente</v>
      </c>
      <c r="J137" s="6" t="str">
        <f>APPRENANTS!I137</f>
        <v>0613475070</v>
      </c>
      <c r="K137" s="6" t="str">
        <f>APPRENANTS!J137</f>
        <v/>
      </c>
      <c r="L137" s="6" t="str">
        <f>APPRENANTS!K137</f>
        <v/>
      </c>
      <c r="M137" s="10" t="str">
        <f t="shared" si="1"/>
        <v>CV, CIN, 6 dossiers admin, Convocation examen</v>
      </c>
    </row>
    <row r="138" ht="15.0" customHeight="1">
      <c r="A138" s="6" t="str">
        <f>APPRENANTS!A138</f>
        <v>Proskills Institut</v>
      </c>
      <c r="B138" s="6" t="str">
        <f>APPRENANTS!B138</f>
        <v>BIANCO Sebastien</v>
      </c>
      <c r="C138" s="6" t="str">
        <f>APPRENANTS!C138</f>
        <v>Djody</v>
      </c>
      <c r="D138" s="6" t="s">
        <v>44</v>
      </c>
      <c r="E138" s="6" t="s">
        <v>44</v>
      </c>
      <c r="F138" s="6" t="s">
        <v>44</v>
      </c>
      <c r="G138" s="6" t="s">
        <v>44</v>
      </c>
      <c r="H138" s="6"/>
      <c r="I138" s="6" t="str">
        <f>APPRENANTS!H138</f>
        <v>en attente</v>
      </c>
      <c r="J138" s="6" t="str">
        <f>APPRENANTS!I138</f>
        <v/>
      </c>
      <c r="K138" s="6" t="str">
        <f>APPRENANTS!J138</f>
        <v/>
      </c>
      <c r="L138" s="6" t="str">
        <f>APPRENANTS!K138</f>
        <v/>
      </c>
      <c r="M138" s="10" t="str">
        <f t="shared" si="1"/>
        <v>CV, CIN, 6 dossiers admin, Convocation examen</v>
      </c>
    </row>
    <row r="139" ht="15.0" customHeight="1">
      <c r="A139" s="6" t="str">
        <f>APPRENANTS!A139</f>
        <v>Proskills Institut</v>
      </c>
      <c r="B139" s="6" t="str">
        <f>APPRENANTS!B139</f>
        <v>BIANCO Sebastien</v>
      </c>
      <c r="C139" s="6" t="str">
        <f>APPRENANTS!C139</f>
        <v>Djody</v>
      </c>
      <c r="D139" s="6" t="s">
        <v>44</v>
      </c>
      <c r="E139" s="6" t="s">
        <v>44</v>
      </c>
      <c r="F139" s="6" t="s">
        <v>44</v>
      </c>
      <c r="G139" s="6" t="s">
        <v>44</v>
      </c>
      <c r="H139" s="6"/>
      <c r="I139" s="6" t="str">
        <f>APPRENANTS!H139</f>
        <v>en attente</v>
      </c>
      <c r="J139" s="6" t="str">
        <f>APPRENANTS!I139</f>
        <v/>
      </c>
      <c r="K139" s="6" t="str">
        <f>APPRENANTS!J139</f>
        <v/>
      </c>
      <c r="L139" s="6" t="str">
        <f>APPRENANTS!K139</f>
        <v/>
      </c>
      <c r="M139" s="10" t="str">
        <f t="shared" si="1"/>
        <v>CV, CIN, 6 dossiers admin, Convocation examen</v>
      </c>
    </row>
    <row r="140" ht="15.0" customHeight="1">
      <c r="A140" s="6" t="str">
        <f>APPRENANTS!A140</f>
        <v>Proskills Institut</v>
      </c>
      <c r="B140" s="6" t="str">
        <f>APPRENANTS!B140</f>
        <v>FRANGIAN David</v>
      </c>
      <c r="C140" s="6" t="str">
        <f>APPRENANTS!C140</f>
        <v>Sabri</v>
      </c>
      <c r="D140" s="6" t="s">
        <v>44</v>
      </c>
      <c r="E140" s="6" t="s">
        <v>44</v>
      </c>
      <c r="F140" s="6" t="s">
        <v>44</v>
      </c>
      <c r="G140" s="6" t="s">
        <v>44</v>
      </c>
      <c r="H140" s="6"/>
      <c r="I140" s="6" t="str">
        <f>APPRENANTS!H140</f>
        <v>en attente</v>
      </c>
      <c r="J140" s="6" t="str">
        <f>APPRENANTS!I140</f>
        <v>0664580361</v>
      </c>
      <c r="K140" s="6" t="str">
        <f>APPRENANTS!J140</f>
        <v/>
      </c>
      <c r="L140" s="6" t="str">
        <f>APPRENANTS!K140</f>
        <v/>
      </c>
      <c r="M140" s="10" t="str">
        <f t="shared" si="1"/>
        <v>CV, CIN, 6 dossiers admin, Convocation examen</v>
      </c>
    </row>
    <row r="141" ht="15.0" customHeight="1">
      <c r="A141" s="6" t="str">
        <f>APPRENANTS!A141</f>
        <v>Proskills Institut</v>
      </c>
      <c r="B141" s="6" t="str">
        <f>APPRENANTS!B141</f>
        <v>BOGGIO Issan</v>
      </c>
      <c r="C141" s="6" t="str">
        <f>APPRENANTS!C141</f>
        <v>Sabri</v>
      </c>
      <c r="D141" s="6" t="s">
        <v>44</v>
      </c>
      <c r="E141" s="6" t="s">
        <v>44</v>
      </c>
      <c r="F141" s="6" t="s">
        <v>44</v>
      </c>
      <c r="G141" s="6" t="s">
        <v>44</v>
      </c>
      <c r="H141" s="6"/>
      <c r="I141" s="6" t="str">
        <f>APPRENANTS!H141</f>
        <v>5 AV Henri romain boyer 13015 MARSEILL</v>
      </c>
      <c r="J141" s="6" t="str">
        <f>APPRENANTS!I141</f>
        <v>Boggioissan@gmail.com</v>
      </c>
      <c r="K141" s="6" t="str">
        <f>APPRENANTS!J141</f>
        <v>0769502872</v>
      </c>
      <c r="L141" s="6" t="str">
        <f>APPRENANTS!K141</f>
        <v/>
      </c>
      <c r="M141" s="10" t="str">
        <f t="shared" si="1"/>
        <v>CV, CIN, 6 dossiers admin, Convocation examen</v>
      </c>
    </row>
    <row r="142" ht="15.0" customHeight="1">
      <c r="A142" s="6" t="str">
        <f>APPRENANTS!A142</f>
        <v>Proskills Institut</v>
      </c>
      <c r="B142" s="6" t="str">
        <f>APPRENANTS!B142</f>
        <v>BOGGIO Issan</v>
      </c>
      <c r="C142" s="6" t="str">
        <f>APPRENANTS!C142</f>
        <v>Sabri</v>
      </c>
      <c r="D142" s="6" t="s">
        <v>44</v>
      </c>
      <c r="E142" s="6" t="s">
        <v>44</v>
      </c>
      <c r="F142" s="6" t="s">
        <v>44</v>
      </c>
      <c r="G142" s="6" t="s">
        <v>44</v>
      </c>
      <c r="H142" s="6"/>
      <c r="I142" s="6" t="str">
        <f>APPRENANTS!H142</f>
        <v/>
      </c>
      <c r="J142" s="6" t="str">
        <f>APPRENANTS!I142</f>
        <v/>
      </c>
      <c r="K142" s="6" t="str">
        <f>APPRENANTS!J142</f>
        <v/>
      </c>
      <c r="L142" s="6" t="str">
        <f>APPRENANTS!K142</f>
        <v/>
      </c>
      <c r="M142" s="10" t="str">
        <f t="shared" si="1"/>
        <v>CV, CIN, 6 dossiers admin, Convocation examen</v>
      </c>
    </row>
    <row r="143" ht="15.0" customHeight="1">
      <c r="A143" s="6" t="str">
        <f>APPRENANTS!A143</f>
        <v>Proskills Institut</v>
      </c>
      <c r="B143" s="6" t="str">
        <f>APPRENANTS!B143</f>
        <v>BOGGIO Issan</v>
      </c>
      <c r="C143" s="6" t="str">
        <f>APPRENANTS!C143</f>
        <v>Sabri</v>
      </c>
      <c r="D143" s="6" t="s">
        <v>44</v>
      </c>
      <c r="E143" s="6" t="s">
        <v>44</v>
      </c>
      <c r="F143" s="6" t="s">
        <v>44</v>
      </c>
      <c r="G143" s="6" t="s">
        <v>44</v>
      </c>
      <c r="H143" s="6"/>
      <c r="I143" s="6" t="str">
        <f>APPRENANTS!H143</f>
        <v/>
      </c>
      <c r="J143" s="6" t="str">
        <f>APPRENANTS!I143</f>
        <v/>
      </c>
      <c r="K143" s="6" t="str">
        <f>APPRENANTS!J143</f>
        <v/>
      </c>
      <c r="L143" s="6" t="str">
        <f>APPRENANTS!K143</f>
        <v/>
      </c>
      <c r="M143" s="10" t="str">
        <f t="shared" si="1"/>
        <v>CV, CIN, 6 dossiers admin, Convocation examen</v>
      </c>
    </row>
    <row r="144" ht="15.0" customHeight="1">
      <c r="A144" s="6" t="str">
        <f>APPRENANTS!A144</f>
        <v>Proskills Institut</v>
      </c>
      <c r="B144" s="6" t="str">
        <f>APPRENANTS!B144</f>
        <v>ARGOUBI Mohamed-Salah</v>
      </c>
      <c r="C144" s="6" t="str">
        <f>APPRENANTS!C144</f>
        <v>Sabri</v>
      </c>
      <c r="D144" s="6" t="s">
        <v>44</v>
      </c>
      <c r="E144" s="6" t="s">
        <v>44</v>
      </c>
      <c r="F144" s="6" t="s">
        <v>44</v>
      </c>
      <c r="G144" s="6" t="s">
        <v>44</v>
      </c>
      <c r="H144" s="6"/>
      <c r="I144" s="6" t="str">
        <f>APPRENANTS!H144</f>
        <v>24 RUE Marengo  13006 MARSEILLE</v>
      </c>
      <c r="J144" s="6" t="str">
        <f>APPRENANTS!I144</f>
        <v>manu.schianchi@gmail.com</v>
      </c>
      <c r="K144" s="6" t="str">
        <f>APPRENANTS!J144</f>
        <v>0666482176</v>
      </c>
      <c r="L144" s="6" t="str">
        <f>APPRENANTS!K144</f>
        <v/>
      </c>
      <c r="M144" s="10" t="str">
        <f t="shared" si="1"/>
        <v>CV, CIN, 6 dossiers admin, Convocation examen</v>
      </c>
    </row>
    <row r="145" ht="15.0" customHeight="1">
      <c r="A145" s="6" t="str">
        <f>APPRENANTS!A145</f>
        <v>Proskills Institut</v>
      </c>
      <c r="B145" s="6" t="str">
        <f>APPRENANTS!B145</f>
        <v>ARGOUBI Mohamed-Salah</v>
      </c>
      <c r="C145" s="6" t="str">
        <f>APPRENANTS!C145</f>
        <v>Sabri</v>
      </c>
      <c r="D145" s="6" t="s">
        <v>44</v>
      </c>
      <c r="E145" s="6" t="s">
        <v>44</v>
      </c>
      <c r="F145" s="6" t="s">
        <v>44</v>
      </c>
      <c r="G145" s="6" t="s">
        <v>44</v>
      </c>
      <c r="H145" s="6"/>
      <c r="I145" s="6" t="str">
        <f>APPRENANTS!H145</f>
        <v>24 RUE Marengo  13006 MARSEILLE</v>
      </c>
      <c r="J145" s="6" t="str">
        <f>APPRENANTS!I145</f>
        <v/>
      </c>
      <c r="K145" s="6" t="str">
        <f>APPRENANTS!J145</f>
        <v/>
      </c>
      <c r="L145" s="6" t="str">
        <f>APPRENANTS!K145</f>
        <v/>
      </c>
      <c r="M145" s="10" t="str">
        <f t="shared" si="1"/>
        <v>CV, CIN, 6 dossiers admin, Convocation examen</v>
      </c>
    </row>
    <row r="146" ht="15.0" customHeight="1">
      <c r="A146" s="6" t="str">
        <f>APPRENANTS!A146</f>
        <v>Proskills Institut</v>
      </c>
      <c r="B146" s="6" t="str">
        <f>APPRENANTS!B146</f>
        <v>CHAOUCH Nabil</v>
      </c>
      <c r="C146" s="6" t="str">
        <f>APPRENANTS!C146</f>
        <v>GRAS</v>
      </c>
      <c r="D146" s="6" t="s">
        <v>44</v>
      </c>
      <c r="E146" s="6" t="s">
        <v>44</v>
      </c>
      <c r="F146" s="6" t="s">
        <v>44</v>
      </c>
      <c r="G146" s="6" t="s">
        <v>44</v>
      </c>
      <c r="H146" s="6"/>
      <c r="I146" s="6" t="str">
        <f>APPRENANTS!H146</f>
        <v>4 IMP Florent Evrard 62220 CARVIN</v>
      </c>
      <c r="J146" s="6" t="str">
        <f>APPRENANTS!I146</f>
        <v>espineira.b@gmail.com</v>
      </c>
      <c r="K146" s="6" t="str">
        <f>APPRENANTS!J146</f>
        <v>0663741170</v>
      </c>
      <c r="L146" s="6" t="str">
        <f>APPRENANTS!K146</f>
        <v/>
      </c>
      <c r="M146" s="10" t="str">
        <f t="shared" si="1"/>
        <v>CV, CIN, 6 dossiers admin, Convocation examen</v>
      </c>
    </row>
    <row r="147" ht="15.0" customHeight="1">
      <c r="A147" s="6" t="str">
        <f>APPRENANTS!A147</f>
        <v>Proskills Institut</v>
      </c>
      <c r="B147" s="6" t="str">
        <f>APPRENANTS!B147</f>
        <v>BESSA Oussama</v>
      </c>
      <c r="C147" s="6" t="str">
        <f>APPRENANTS!C147</f>
        <v>Jean</v>
      </c>
      <c r="D147" s="6" t="s">
        <v>44</v>
      </c>
      <c r="E147" s="6" t="s">
        <v>44</v>
      </c>
      <c r="F147" s="6" t="s">
        <v>44</v>
      </c>
      <c r="G147" s="6" t="s">
        <v>44</v>
      </c>
      <c r="H147" s="6"/>
      <c r="I147" s="6" t="str">
        <f>APPRENANTS!H147</f>
        <v/>
      </c>
      <c r="J147" s="6" t="str">
        <f>APPRENANTS!I147</f>
        <v/>
      </c>
      <c r="K147" s="6" t="str">
        <f>APPRENANTS!J147</f>
        <v/>
      </c>
      <c r="L147" s="6" t="str">
        <f>APPRENANTS!K147</f>
        <v/>
      </c>
      <c r="M147" s="10" t="str">
        <f t="shared" si="1"/>
        <v>CV, CIN, 6 dossiers admin, Convocation examen</v>
      </c>
    </row>
    <row r="148" ht="15.0" customHeight="1">
      <c r="A148" s="6" t="str">
        <f>APPRENANTS!A148</f>
        <v>Proskills Institut</v>
      </c>
      <c r="B148" s="6" t="str">
        <f>APPRENANTS!B148</f>
        <v>BESSA Oussama</v>
      </c>
      <c r="C148" s="6" t="str">
        <f>APPRENANTS!C148</f>
        <v>Jean</v>
      </c>
      <c r="D148" s="6" t="s">
        <v>44</v>
      </c>
      <c r="E148" s="6" t="s">
        <v>44</v>
      </c>
      <c r="F148" s="6" t="s">
        <v>44</v>
      </c>
      <c r="G148" s="6" t="s">
        <v>44</v>
      </c>
      <c r="H148" s="6"/>
      <c r="I148" s="6" t="str">
        <f>APPRENANTS!H148</f>
        <v/>
      </c>
      <c r="J148" s="6" t="str">
        <f>APPRENANTS!I148</f>
        <v/>
      </c>
      <c r="K148" s="6" t="str">
        <f>APPRENANTS!J148</f>
        <v/>
      </c>
      <c r="L148" s="6" t="str">
        <f>APPRENANTS!K148</f>
        <v/>
      </c>
      <c r="M148" s="10" t="str">
        <f t="shared" si="1"/>
        <v>CV, CIN, 6 dossiers admin, Convocation examen</v>
      </c>
    </row>
    <row r="149" ht="15.0" customHeight="1">
      <c r="A149" s="6" t="str">
        <f>APPRENANTS!A149</f>
        <v>Proskills Institut</v>
      </c>
      <c r="B149" s="6" t="str">
        <f>APPRENANTS!B149</f>
        <v>NOUIRI Ryad</v>
      </c>
      <c r="C149" s="6" t="str">
        <f>APPRENANTS!C149</f>
        <v>GRAS</v>
      </c>
      <c r="D149" s="6" t="s">
        <v>44</v>
      </c>
      <c r="E149" s="6" t="s">
        <v>44</v>
      </c>
      <c r="F149" s="6" t="s">
        <v>44</v>
      </c>
      <c r="G149" s="6" t="s">
        <v>44</v>
      </c>
      <c r="H149" s="6"/>
      <c r="I149" s="6" t="str">
        <f>APPRENANTS!H149</f>
        <v/>
      </c>
      <c r="J149" s="6" t="str">
        <f>APPRENANTS!I149</f>
        <v>espineira.b@gmail.com</v>
      </c>
      <c r="K149" s="6" t="str">
        <f>APPRENANTS!J149</f>
        <v>0663741170</v>
      </c>
      <c r="L149" s="6" t="str">
        <f>APPRENANTS!K149</f>
        <v/>
      </c>
      <c r="M149" s="10" t="str">
        <f t="shared" si="1"/>
        <v>CV, CIN, 6 dossiers admin, Convocation examen</v>
      </c>
    </row>
    <row r="150" ht="15.0" customHeight="1">
      <c r="A150" s="6" t="str">
        <f>APPRENANTS!A150</f>
        <v>Proskills Institut</v>
      </c>
      <c r="B150" s="6" t="str">
        <f>APPRENANTS!B150</f>
        <v>RUIZ Thomas</v>
      </c>
      <c r="C150" s="6" t="str">
        <f>APPRENANTS!C150</f>
        <v>GRAS</v>
      </c>
      <c r="D150" s="6" t="s">
        <v>44</v>
      </c>
      <c r="E150" s="6" t="s">
        <v>44</v>
      </c>
      <c r="F150" s="6" t="s">
        <v>44</v>
      </c>
      <c r="G150" s="6" t="s">
        <v>44</v>
      </c>
      <c r="H150" s="6"/>
      <c r="I150" s="6" t="str">
        <f>APPRENANTS!H150</f>
        <v/>
      </c>
      <c r="J150" s="6" t="str">
        <f>APPRENANTS!I150</f>
        <v>espineira.b@gmail.com</v>
      </c>
      <c r="K150" s="6" t="str">
        <f>APPRENANTS!J150</f>
        <v>0663741170</v>
      </c>
      <c r="L150" s="6" t="str">
        <f>APPRENANTS!K150</f>
        <v/>
      </c>
      <c r="M150" s="10" t="str">
        <f t="shared" si="1"/>
        <v>CV, CIN, 6 dossiers admin, Convocation examen</v>
      </c>
    </row>
    <row r="151" ht="15.0" customHeight="1">
      <c r="A151" s="6" t="str">
        <f>APPRENANTS!A151</f>
        <v>Proskills Institut</v>
      </c>
      <c r="B151" s="6" t="str">
        <f>APPRENANTS!B151</f>
        <v>BOGGIO Andre</v>
      </c>
      <c r="C151" s="6" t="str">
        <f>APPRENANTS!C151</f>
        <v>Sabri</v>
      </c>
      <c r="D151" s="6" t="s">
        <v>44</v>
      </c>
      <c r="E151" s="6" t="s">
        <v>44</v>
      </c>
      <c r="F151" s="6" t="s">
        <v>44</v>
      </c>
      <c r="G151" s="6" t="s">
        <v>44</v>
      </c>
      <c r="H151" s="6"/>
      <c r="I151" s="6" t="str">
        <f>APPRENANTS!H151</f>
        <v/>
      </c>
      <c r="J151" s="6" t="str">
        <f>APPRENANTS!I151</f>
        <v>Boggioissan@gmail.com</v>
      </c>
      <c r="K151" s="6" t="str">
        <f>APPRENANTS!J151</f>
        <v>0769502872</v>
      </c>
      <c r="L151" s="6" t="str">
        <f>APPRENANTS!K151</f>
        <v/>
      </c>
      <c r="M151" s="10" t="str">
        <f t="shared" si="1"/>
        <v>CV, CIN, 6 dossiers admin, Convocation examen</v>
      </c>
    </row>
    <row r="152" ht="15.0" customHeight="1">
      <c r="A152" s="6" t="str">
        <f>APPRENANTS!A152</f>
        <v>Proskills Institut</v>
      </c>
      <c r="B152" s="6" t="str">
        <f>APPRENANTS!B152</f>
        <v>BOGGIO Andre</v>
      </c>
      <c r="C152" s="6" t="str">
        <f>APPRENANTS!C152</f>
        <v>Sabri</v>
      </c>
      <c r="D152" s="6" t="s">
        <v>44</v>
      </c>
      <c r="E152" s="6" t="s">
        <v>44</v>
      </c>
      <c r="F152" s="6" t="s">
        <v>44</v>
      </c>
      <c r="G152" s="6" t="s">
        <v>44</v>
      </c>
      <c r="H152" s="6"/>
      <c r="I152" s="6" t="str">
        <f>APPRENANTS!H152</f>
        <v/>
      </c>
      <c r="J152" s="6" t="str">
        <f>APPRENANTS!I152</f>
        <v/>
      </c>
      <c r="K152" s="6" t="str">
        <f>APPRENANTS!J152</f>
        <v/>
      </c>
      <c r="L152" s="6" t="str">
        <f>APPRENANTS!K152</f>
        <v/>
      </c>
      <c r="M152" s="10" t="str">
        <f t="shared" si="1"/>
        <v>CV, CIN, 6 dossiers admin, Convocation examen</v>
      </c>
    </row>
    <row r="153" ht="15.0" customHeight="1">
      <c r="A153" s="6" t="str">
        <f>APPRENANTS!A153</f>
        <v>Proskills Institut</v>
      </c>
      <c r="B153" s="6" t="str">
        <f>APPRENANTS!B153</f>
        <v>BOGGIO Andre</v>
      </c>
      <c r="C153" s="6" t="str">
        <f>APPRENANTS!C153</f>
        <v>Sabri</v>
      </c>
      <c r="D153" s="6" t="s">
        <v>44</v>
      </c>
      <c r="E153" s="6" t="s">
        <v>44</v>
      </c>
      <c r="F153" s="6" t="s">
        <v>44</v>
      </c>
      <c r="G153" s="6" t="s">
        <v>44</v>
      </c>
      <c r="H153" s="6"/>
      <c r="I153" s="6" t="str">
        <f>APPRENANTS!H153</f>
        <v/>
      </c>
      <c r="J153" s="6" t="str">
        <f>APPRENANTS!I153</f>
        <v/>
      </c>
      <c r="K153" s="6" t="str">
        <f>APPRENANTS!J153</f>
        <v/>
      </c>
      <c r="L153" s="6" t="str">
        <f>APPRENANTS!K153</f>
        <v/>
      </c>
      <c r="M153" s="10" t="str">
        <f t="shared" si="1"/>
        <v>CV, CIN, 6 dossiers admin, Convocation examen</v>
      </c>
    </row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M$153"/>
  <conditionalFormatting sqref="D2:G153">
    <cfRule type="expression" dxfId="0" priority="1">
      <formula>D2="Fait"</formula>
    </cfRule>
  </conditionalFormatting>
  <conditionalFormatting sqref="D2:G153">
    <cfRule type="expression" dxfId="1" priority="2">
      <formula>D2="A faire"</formula>
    </cfRule>
  </conditionalFormatting>
  <dataValidations>
    <dataValidation type="list" allowBlank="1" showErrorMessage="1" sqref="D2:G153">
      <formula1>"Fait,A faire"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6.0"/>
    <col customWidth="1" min="2" max="2" width="22.0"/>
    <col customWidth="1" min="3" max="3" width="32.0"/>
    <col customWidth="1" min="4" max="4" width="13.0"/>
    <col customWidth="1" min="5" max="5" width="14.0"/>
    <col customWidth="1" min="6" max="6" width="18.0"/>
    <col customWidth="1" min="7" max="7" width="11.0"/>
    <col customWidth="1" min="8" max="10" width="14.0"/>
    <col customWidth="1" min="11" max="11" width="13.0"/>
    <col customWidth="1" min="12" max="12" width="20.0"/>
    <col customWidth="1" min="13" max="13" width="16.0"/>
    <col customWidth="1" min="14" max="14" width="18.0"/>
    <col customWidth="1" min="15" max="15" width="14.0"/>
    <col customWidth="1" min="16" max="16" width="16.0"/>
    <col customWidth="1" min="17" max="26" width="8.63"/>
  </cols>
  <sheetData>
    <row r="1" ht="39.0" customHeight="1">
      <c r="A1" s="2" t="s">
        <v>0</v>
      </c>
      <c r="B1" s="2" t="s">
        <v>3</v>
      </c>
      <c r="C1" s="2" t="s">
        <v>8</v>
      </c>
      <c r="D1" s="2" t="s">
        <v>5</v>
      </c>
      <c r="E1" s="2" t="s">
        <v>12</v>
      </c>
      <c r="F1" s="2" t="s">
        <v>14</v>
      </c>
      <c r="G1" s="2" t="s">
        <v>18</v>
      </c>
      <c r="H1" s="2" t="s">
        <v>20</v>
      </c>
      <c r="I1" s="2" t="s">
        <v>22</v>
      </c>
      <c r="J1" s="2" t="s">
        <v>24</v>
      </c>
      <c r="K1" s="2" t="s">
        <v>27</v>
      </c>
      <c r="L1" s="2" t="s">
        <v>28</v>
      </c>
      <c r="M1" s="2" t="s">
        <v>32</v>
      </c>
      <c r="N1" s="2" t="s">
        <v>34</v>
      </c>
      <c r="O1" s="2" t="s">
        <v>36</v>
      </c>
      <c r="P1" s="2" t="s">
        <v>40</v>
      </c>
    </row>
    <row r="2" ht="15.0" customHeight="1">
      <c r="A2" s="6" t="str">
        <f>APPRENANTS!A2</f>
        <v>Proforma Institut</v>
      </c>
      <c r="B2" s="6" t="str">
        <f>APPRENANTS!B2</f>
        <v>Mohamed Ait Baha</v>
      </c>
      <c r="C2" s="6" t="str">
        <f>APPRENANTS!D2</f>
        <v>Réaliser les opérations comptables courantes d'une TPE</v>
      </c>
      <c r="D2" s="6" t="str">
        <f>APPRENANTS!C2</f>
        <v>Djody</v>
      </c>
      <c r="E2" s="6" t="str">
        <f>APPRENANTS!F2</f>
        <v>2026-03-06</v>
      </c>
      <c r="F2" s="9">
        <f t="shared" ref="F2:F153" si="2">IF(E2="","",DATEVALUE(E2)+35)</f>
        <v>46122</v>
      </c>
      <c r="G2" s="6" t="str">
        <f>APPRENANTS!G2</f>
        <v>Payé</v>
      </c>
      <c r="H2" s="11">
        <v>100.0</v>
      </c>
      <c r="I2" s="11">
        <v>1500.0</v>
      </c>
      <c r="J2" s="6">
        <f>IF(APPRENANTS!Y2="Oui",IF(H2&gt;0,825,750),0)</f>
        <v>825</v>
      </c>
      <c r="K2" s="11" t="s">
        <v>68</v>
      </c>
      <c r="L2" s="6" t="str">
        <f>IF(APPRENANTS!Y2="Non","Inscription non confirmee",IF(K2="Oui","Payee",IF(F2="","",IF(TODAY()&gt;=F2,"En retard - a verser","A venir"))))</f>
        <v>En retard - a verser</v>
      </c>
      <c r="M2" s="6" t="str">
        <f t="shared" ref="M2:M153" si="3">IF(F2="","",CHOOSE(MONTH(F2),"janvier","fevrier","mars","avril","mai","juin","juillet","aout","septembre","octobre","novembre","decembre")&amp;" "&amp;YEAR(F2))</f>
        <v>avril 2026</v>
      </c>
      <c r="N2" s="6" t="str">
        <f>APPRENANTS!Y2</f>
        <v>Oui</v>
      </c>
      <c r="O2" s="6">
        <f t="shared" ref="O2:P2" si="1">IF($N2="Oui",I2,0)</f>
        <v>1500</v>
      </c>
      <c r="P2" s="6">
        <f t="shared" si="1"/>
        <v>825</v>
      </c>
    </row>
    <row r="3" ht="15.0" customHeight="1">
      <c r="A3" s="6" t="str">
        <f>APPRENANTS!A3</f>
        <v>Proforma Institut</v>
      </c>
      <c r="B3" s="6" t="str">
        <f>APPRENANTS!B3</f>
        <v>Frederic Roche</v>
      </c>
      <c r="C3" s="6" t="str">
        <f>APPRENANTS!D3</f>
        <v>Réaliser les opérations comptables courantes d'une TPE</v>
      </c>
      <c r="D3" s="6" t="str">
        <f>APPRENANTS!C3</f>
        <v>Nedjma</v>
      </c>
      <c r="E3" s="6" t="str">
        <f>APPRENANTS!F3</f>
        <v>2026-03-06</v>
      </c>
      <c r="F3" s="9">
        <f t="shared" si="2"/>
        <v>46122</v>
      </c>
      <c r="G3" s="6" t="str">
        <f>APPRENANTS!G3</f>
        <v>Payé</v>
      </c>
      <c r="H3" s="11">
        <v>100.0</v>
      </c>
      <c r="I3" s="11">
        <v>1500.0</v>
      </c>
      <c r="J3" s="6">
        <f>IF(APPRENANTS!Y3="Oui",IF(H3&gt;0,825,750),0)</f>
        <v>825</v>
      </c>
      <c r="K3" s="11" t="s">
        <v>68</v>
      </c>
      <c r="L3" s="6" t="str">
        <f>IF(APPRENANTS!Y3="Non","Inscription non confirmee",IF(K3="Oui","Payee",IF(F3="","",IF(TODAY()&gt;=F3,"En retard - a verser","A venir"))))</f>
        <v>En retard - a verser</v>
      </c>
      <c r="M3" s="6" t="str">
        <f t="shared" si="3"/>
        <v>avril 2026</v>
      </c>
      <c r="N3" s="6" t="str">
        <f>APPRENANTS!Y3</f>
        <v>Oui</v>
      </c>
      <c r="O3" s="6">
        <f t="shared" ref="O3:P3" si="4">IF($N3="Oui",I3,0)</f>
        <v>1500</v>
      </c>
      <c r="P3" s="6">
        <f t="shared" si="4"/>
        <v>825</v>
      </c>
    </row>
    <row r="4" ht="15.0" customHeight="1">
      <c r="A4" s="6" t="str">
        <f>APPRENANTS!A4</f>
        <v>Proforma Institut</v>
      </c>
      <c r="B4" s="6" t="str">
        <f>APPRENANTS!B4</f>
        <v>SIAF Kamla</v>
      </c>
      <c r="C4" s="6" t="str">
        <f>APPRENANTS!D4</f>
        <v>Réaliser les opérations comptables courantes d'une TPE</v>
      </c>
      <c r="D4" s="6" t="str">
        <f>APPRENANTS!C4</f>
        <v>Nedjma</v>
      </c>
      <c r="E4" s="6" t="str">
        <f>APPRENANTS!F4</f>
        <v>2026-03-27</v>
      </c>
      <c r="F4" s="9">
        <f t="shared" si="2"/>
        <v>46143</v>
      </c>
      <c r="G4" s="6" t="str">
        <f>APPRENANTS!G4</f>
        <v>Payé</v>
      </c>
      <c r="H4" s="11">
        <v>100.0</v>
      </c>
      <c r="I4" s="11">
        <v>1500.0</v>
      </c>
      <c r="J4" s="6">
        <f>IF(APPRENANTS!Y4="Oui",IF(H4&gt;0,825,750),0)</f>
        <v>825</v>
      </c>
      <c r="K4" s="11" t="s">
        <v>68</v>
      </c>
      <c r="L4" s="6" t="str">
        <f>IF(APPRENANTS!Y4="Non","Inscription non confirmee",IF(K4="Oui","Payee",IF(F4="","",IF(TODAY()&gt;=F4,"En retard - a verser","A venir"))))</f>
        <v>En retard - a verser</v>
      </c>
      <c r="M4" s="6" t="str">
        <f t="shared" si="3"/>
        <v>mai 2026</v>
      </c>
      <c r="N4" s="6" t="str">
        <f>APPRENANTS!Y4</f>
        <v>Oui</v>
      </c>
      <c r="O4" s="6">
        <f t="shared" ref="O4:P4" si="5">IF($N4="Oui",I4,0)</f>
        <v>1500</v>
      </c>
      <c r="P4" s="6">
        <f t="shared" si="5"/>
        <v>825</v>
      </c>
    </row>
    <row r="5" ht="15.0" customHeight="1">
      <c r="A5" s="6" t="str">
        <f>APPRENANTS!A5</f>
        <v>Proforma Institut</v>
      </c>
      <c r="B5" s="6" t="str">
        <f>APPRENANTS!B5</f>
        <v>HAFIDHOU Mansouri</v>
      </c>
      <c r="C5" s="6" t="str">
        <f>APPRENANTS!D5</f>
        <v>Réaliser les opérations comptables courantes d'une TPE</v>
      </c>
      <c r="D5" s="6" t="str">
        <f>APPRENANTS!C5</f>
        <v>Nedjma</v>
      </c>
      <c r="E5" s="6" t="str">
        <f>APPRENANTS!F5</f>
        <v>2026-03-27</v>
      </c>
      <c r="F5" s="9">
        <f t="shared" si="2"/>
        <v>46143</v>
      </c>
      <c r="G5" s="6" t="str">
        <f>APPRENANTS!G5</f>
        <v>Payé</v>
      </c>
      <c r="H5" s="11">
        <v>100.0</v>
      </c>
      <c r="I5" s="11">
        <v>1500.0</v>
      </c>
      <c r="J5" s="6">
        <f>IF(APPRENANTS!Y5="Oui",IF(H5&gt;0,825,750),0)</f>
        <v>825</v>
      </c>
      <c r="K5" s="11" t="s">
        <v>68</v>
      </c>
      <c r="L5" s="6" t="str">
        <f>IF(APPRENANTS!Y5="Non","Inscription non confirmee",IF(K5="Oui","Payee",IF(F5="","",IF(TODAY()&gt;=F5,"En retard - a verser","A venir"))))</f>
        <v>En retard - a verser</v>
      </c>
      <c r="M5" s="6" t="str">
        <f t="shared" si="3"/>
        <v>mai 2026</v>
      </c>
      <c r="N5" s="6" t="str">
        <f>APPRENANTS!Y5</f>
        <v>Oui</v>
      </c>
      <c r="O5" s="6">
        <f t="shared" ref="O5:P5" si="6">IF($N5="Oui",I5,0)</f>
        <v>1500</v>
      </c>
      <c r="P5" s="6">
        <f t="shared" si="6"/>
        <v>825</v>
      </c>
    </row>
    <row r="6" ht="15.0" customHeight="1">
      <c r="A6" s="6" t="str">
        <f>APPRENANTS!A6</f>
        <v>Proforma Institut</v>
      </c>
      <c r="B6" s="6" t="str">
        <f>APPRENANTS!B6</f>
        <v>DELGADO DA CRUZ Francisco</v>
      </c>
      <c r="C6" s="6" t="str">
        <f>APPRENANTS!D6</f>
        <v>Réaliser les opérations comptables courantes d'une TPE</v>
      </c>
      <c r="D6" s="6" t="str">
        <f>APPRENANTS!C6</f>
        <v>Nedjma</v>
      </c>
      <c r="E6" s="6" t="str">
        <f>APPRENANTS!F6</f>
        <v>2026-03-27</v>
      </c>
      <c r="F6" s="9">
        <f t="shared" si="2"/>
        <v>46143</v>
      </c>
      <c r="G6" s="6" t="str">
        <f>APPRENANTS!G6</f>
        <v>Payé</v>
      </c>
      <c r="H6" s="11">
        <v>100.0</v>
      </c>
      <c r="I6" s="11">
        <v>1500.0</v>
      </c>
      <c r="J6" s="6">
        <f>IF(APPRENANTS!Y6="Oui",IF(H6&gt;0,825,750),0)</f>
        <v>825</v>
      </c>
      <c r="K6" s="11" t="s">
        <v>68</v>
      </c>
      <c r="L6" s="6" t="str">
        <f>IF(APPRENANTS!Y6="Non","Inscription non confirmee",IF(K6="Oui","Payee",IF(F6="","",IF(TODAY()&gt;=F6,"En retard - a verser","A venir"))))</f>
        <v>En retard - a verser</v>
      </c>
      <c r="M6" s="6" t="str">
        <f t="shared" si="3"/>
        <v>mai 2026</v>
      </c>
      <c r="N6" s="6" t="str">
        <f>APPRENANTS!Y6</f>
        <v>Oui</v>
      </c>
      <c r="O6" s="6">
        <f t="shared" ref="O6:P6" si="7">IF($N6="Oui",I6,0)</f>
        <v>1500</v>
      </c>
      <c r="P6" s="6">
        <f t="shared" si="7"/>
        <v>825</v>
      </c>
    </row>
    <row r="7" ht="15.0" customHeight="1">
      <c r="A7" s="6" t="str">
        <f>APPRENANTS!A7</f>
        <v>Proforma Institut</v>
      </c>
      <c r="B7" s="6" t="str">
        <f>APPRENANTS!B7</f>
        <v>DOUMENC Christophe</v>
      </c>
      <c r="C7" s="6" t="str">
        <f>APPRENANTS!D7</f>
        <v>Réaliser les opérations comptables courantes d'une TPE</v>
      </c>
      <c r="D7" s="6" t="str">
        <f>APPRENANTS!C7</f>
        <v>Nedjma</v>
      </c>
      <c r="E7" s="6" t="str">
        <f>APPRENANTS!F7</f>
        <v>2026-03-27</v>
      </c>
      <c r="F7" s="9">
        <f t="shared" si="2"/>
        <v>46143</v>
      </c>
      <c r="G7" s="6" t="str">
        <f>APPRENANTS!G7</f>
        <v>Payé</v>
      </c>
      <c r="H7" s="11">
        <v>100.0</v>
      </c>
      <c r="I7" s="11">
        <v>1500.0</v>
      </c>
      <c r="J7" s="6">
        <f>IF(APPRENANTS!Y7="Oui",IF(H7&gt;0,825,750),0)</f>
        <v>825</v>
      </c>
      <c r="K7" s="11" t="s">
        <v>68</v>
      </c>
      <c r="L7" s="6" t="str">
        <f>IF(APPRENANTS!Y7="Non","Inscription non confirmee",IF(K7="Oui","Payee",IF(F7="","",IF(TODAY()&gt;=F7,"En retard - a verser","A venir"))))</f>
        <v>En retard - a verser</v>
      </c>
      <c r="M7" s="6" t="str">
        <f t="shared" si="3"/>
        <v>mai 2026</v>
      </c>
      <c r="N7" s="6" t="str">
        <f>APPRENANTS!Y7</f>
        <v>Oui</v>
      </c>
      <c r="O7" s="6">
        <f t="shared" ref="O7:P7" si="8">IF($N7="Oui",I7,0)</f>
        <v>1500</v>
      </c>
      <c r="P7" s="6">
        <f t="shared" si="8"/>
        <v>825</v>
      </c>
    </row>
    <row r="8" ht="15.0" customHeight="1">
      <c r="A8" s="6" t="str">
        <f>APPRENANTS!A8</f>
        <v>Proforma Institut</v>
      </c>
      <c r="B8" s="6" t="str">
        <f>APPRENANTS!B8</f>
        <v>AHAMADA BOURHANE Soilihi</v>
      </c>
      <c r="C8" s="6" t="str">
        <f>APPRENANTS!D8</f>
        <v>Réaliser les opérations comptables courantes d'une TPE</v>
      </c>
      <c r="D8" s="6" t="str">
        <f>APPRENANTS!C8</f>
        <v>Nedjma</v>
      </c>
      <c r="E8" s="6" t="str">
        <f>APPRENANTS!F8</f>
        <v>2026-04-17</v>
      </c>
      <c r="F8" s="9">
        <f t="shared" si="2"/>
        <v>46164</v>
      </c>
      <c r="G8" s="6" t="str">
        <f>APPRENANTS!G8</f>
        <v>FACTURE</v>
      </c>
      <c r="H8" s="11">
        <v>100.0</v>
      </c>
      <c r="I8" s="11">
        <v>1500.0</v>
      </c>
      <c r="J8" s="6">
        <f>IF(APPRENANTS!Y8="Oui",IF(H8&gt;0,825,750),0)</f>
        <v>825</v>
      </c>
      <c r="K8" s="11" t="s">
        <v>68</v>
      </c>
      <c r="L8" s="6" t="str">
        <f>IF(APPRENANTS!Y8="Non","Inscription non confirmee",IF(K8="Oui","Payee",IF(F8="","",IF(TODAY()&gt;=F8,"En retard - a verser","A venir"))))</f>
        <v>En retard - a verser</v>
      </c>
      <c r="M8" s="6" t="str">
        <f t="shared" si="3"/>
        <v>mai 2026</v>
      </c>
      <c r="N8" s="6" t="str">
        <f>APPRENANTS!Y8</f>
        <v>Oui</v>
      </c>
      <c r="O8" s="6">
        <f t="shared" ref="O8:P8" si="9">IF($N8="Oui",I8,0)</f>
        <v>1500</v>
      </c>
      <c r="P8" s="6">
        <f t="shared" si="9"/>
        <v>825</v>
      </c>
    </row>
    <row r="9" ht="15.0" customHeight="1">
      <c r="A9" s="6" t="str">
        <f>APPRENANTS!A9</f>
        <v>Proforma Institut</v>
      </c>
      <c r="B9" s="6" t="str">
        <f>APPRENANTS!B9</f>
        <v>BENGUEDIH Kader</v>
      </c>
      <c r="C9" s="6" t="str">
        <f>APPRENANTS!D9</f>
        <v>Réaliser les opérations comptables courantes d'une TPE</v>
      </c>
      <c r="D9" s="6" t="str">
        <f>APPRENANTS!C9</f>
        <v>Nedjma</v>
      </c>
      <c r="E9" s="6" t="str">
        <f>APPRENANTS!F9</f>
        <v>2026-04-17</v>
      </c>
      <c r="F9" s="9">
        <f t="shared" si="2"/>
        <v>46164</v>
      </c>
      <c r="G9" s="6" t="str">
        <f>APPRENANTS!G9</f>
        <v>FACTURE</v>
      </c>
      <c r="H9" s="11">
        <v>0.0</v>
      </c>
      <c r="I9" s="11">
        <v>1500.0</v>
      </c>
      <c r="J9" s="6">
        <f>IF(APPRENANTS!Y9="Oui",IF(H9&gt;0,825,750),0)</f>
        <v>750</v>
      </c>
      <c r="K9" s="11" t="s">
        <v>68</v>
      </c>
      <c r="L9" s="6" t="str">
        <f>IF(APPRENANTS!Y9="Non","Inscription non confirmee",IF(K9="Oui","Payee",IF(F9="","",IF(TODAY()&gt;=F9,"En retard - a verser","A venir"))))</f>
        <v>En retard - a verser</v>
      </c>
      <c r="M9" s="6" t="str">
        <f t="shared" si="3"/>
        <v>mai 2026</v>
      </c>
      <c r="N9" s="6" t="str">
        <f>APPRENANTS!Y9</f>
        <v>Oui</v>
      </c>
      <c r="O9" s="6">
        <f t="shared" ref="O9:P9" si="10">IF($N9="Oui",I9,0)</f>
        <v>1500</v>
      </c>
      <c r="P9" s="6">
        <f t="shared" si="10"/>
        <v>750</v>
      </c>
    </row>
    <row r="10" ht="15.0" customHeight="1">
      <c r="A10" s="6" t="str">
        <f>APPRENANTS!A10</f>
        <v>Proforma Institut</v>
      </c>
      <c r="B10" s="6" t="str">
        <f>APPRENANTS!B10</f>
        <v>Julie Scotto D Aniello</v>
      </c>
      <c r="C10" s="6" t="str">
        <f>APPRENANTS!D10</f>
        <v>Réaliser les opérations comptables courantes d'une TPE</v>
      </c>
      <c r="D10" s="6" t="str">
        <f>APPRENANTS!C10</f>
        <v>Sabri</v>
      </c>
      <c r="E10" s="6" t="str">
        <f>APPRENANTS!F10</f>
        <v>2026-03-04</v>
      </c>
      <c r="F10" s="9">
        <f t="shared" si="2"/>
        <v>46120</v>
      </c>
      <c r="G10" s="6" t="str">
        <f>APPRENANTS!G10</f>
        <v>Payé</v>
      </c>
      <c r="H10" s="11">
        <v>100.0</v>
      </c>
      <c r="I10" s="11">
        <v>1500.0</v>
      </c>
      <c r="J10" s="6">
        <f>IF(APPRENANTS!Y10="Oui",IF(H10&gt;0,825,750),0)</f>
        <v>825</v>
      </c>
      <c r="K10" s="11" t="s">
        <v>68</v>
      </c>
      <c r="L10" s="6" t="str">
        <f>IF(APPRENANTS!Y10="Non","Inscription non confirmee",IF(K10="Oui","Payee",IF(F10="","",IF(TODAY()&gt;=F10,"En retard - a verser","A venir"))))</f>
        <v>En retard - a verser</v>
      </c>
      <c r="M10" s="6" t="str">
        <f t="shared" si="3"/>
        <v>avril 2026</v>
      </c>
      <c r="N10" s="6" t="str">
        <f>APPRENANTS!Y10</f>
        <v>Oui</v>
      </c>
      <c r="O10" s="6">
        <f t="shared" ref="O10:P10" si="11">IF($N10="Oui",I10,0)</f>
        <v>1500</v>
      </c>
      <c r="P10" s="6">
        <f t="shared" si="11"/>
        <v>825</v>
      </c>
    </row>
    <row r="11" ht="15.0" customHeight="1">
      <c r="A11" s="6" t="str">
        <f>APPRENANTS!A11</f>
        <v>Proforma Institut</v>
      </c>
      <c r="B11" s="6" t="str">
        <f>APPRENANTS!B11</f>
        <v>Malik Benameur</v>
      </c>
      <c r="C11" s="6" t="str">
        <f>APPRENANTS!D11</f>
        <v>Réaliser les opérations comptables courantes d'une TPE</v>
      </c>
      <c r="D11" s="6" t="str">
        <f>APPRENANTS!C11</f>
        <v>Sabri</v>
      </c>
      <c r="E11" s="6" t="str">
        <f>APPRENANTS!F11</f>
        <v>2026-03-11</v>
      </c>
      <c r="F11" s="9">
        <f t="shared" si="2"/>
        <v>46127</v>
      </c>
      <c r="G11" s="6" t="str">
        <f>APPRENANTS!G11</f>
        <v>Payé</v>
      </c>
      <c r="H11" s="11">
        <v>100.0</v>
      </c>
      <c r="I11" s="11">
        <v>1500.0</v>
      </c>
      <c r="J11" s="6">
        <f>IF(APPRENANTS!Y11="Oui",IF(H11&gt;0,825,750),0)</f>
        <v>825</v>
      </c>
      <c r="K11" s="11" t="s">
        <v>68</v>
      </c>
      <c r="L11" s="6" t="str">
        <f>IF(APPRENANTS!Y11="Non","Inscription non confirmee",IF(K11="Oui","Payee",IF(F11="","",IF(TODAY()&gt;=F11,"En retard - a verser","A venir"))))</f>
        <v>En retard - a verser</v>
      </c>
      <c r="M11" s="6" t="str">
        <f t="shared" si="3"/>
        <v>avril 2026</v>
      </c>
      <c r="N11" s="6" t="str">
        <f>APPRENANTS!Y11</f>
        <v>Oui</v>
      </c>
      <c r="O11" s="6">
        <f t="shared" ref="O11:P11" si="12">IF($N11="Oui",I11,0)</f>
        <v>1500</v>
      </c>
      <c r="P11" s="6">
        <f t="shared" si="12"/>
        <v>825</v>
      </c>
    </row>
    <row r="12" ht="15.0" customHeight="1">
      <c r="A12" s="6" t="str">
        <f>APPRENANTS!A12</f>
        <v>Proforma Institut</v>
      </c>
      <c r="B12" s="6" t="str">
        <f>APPRENANTS!B12</f>
        <v>LEROY Aurelie</v>
      </c>
      <c r="C12" s="6" t="str">
        <f>APPRENANTS!D12</f>
        <v>Réaliser les opérations comptables courantes d'une TPE</v>
      </c>
      <c r="D12" s="6" t="str">
        <f>APPRENANTS!C12</f>
        <v>Sabri</v>
      </c>
      <c r="E12" s="6" t="str">
        <f>APPRENANTS!F12</f>
        <v>2026-03-27</v>
      </c>
      <c r="F12" s="9">
        <f t="shared" si="2"/>
        <v>46143</v>
      </c>
      <c r="G12" s="6" t="str">
        <f>APPRENANTS!G12</f>
        <v>Payé</v>
      </c>
      <c r="H12" s="11">
        <v>0.0</v>
      </c>
      <c r="I12" s="11">
        <v>1500.0</v>
      </c>
      <c r="J12" s="6">
        <f>IF(APPRENANTS!Y12="Oui",IF(H12&gt;0,825,750),0)</f>
        <v>750</v>
      </c>
      <c r="K12" s="11" t="s">
        <v>68</v>
      </c>
      <c r="L12" s="6" t="str">
        <f>IF(APPRENANTS!Y12="Non","Inscription non confirmee",IF(K12="Oui","Payee",IF(F12="","",IF(TODAY()&gt;=F12,"En retard - a verser","A venir"))))</f>
        <v>En retard - a verser</v>
      </c>
      <c r="M12" s="6" t="str">
        <f t="shared" si="3"/>
        <v>mai 2026</v>
      </c>
      <c r="N12" s="6" t="str">
        <f>APPRENANTS!Y12</f>
        <v>Oui</v>
      </c>
      <c r="O12" s="6">
        <f t="shared" ref="O12:P12" si="13">IF($N12="Oui",I12,0)</f>
        <v>1500</v>
      </c>
      <c r="P12" s="6">
        <f t="shared" si="13"/>
        <v>750</v>
      </c>
    </row>
    <row r="13" ht="15.0" customHeight="1">
      <c r="A13" s="6" t="str">
        <f>APPRENANTS!A13</f>
        <v>Proforma Institut</v>
      </c>
      <c r="B13" s="6" t="str">
        <f>APPRENANTS!B13</f>
        <v>SANIGOU Livan</v>
      </c>
      <c r="C13" s="6" t="str">
        <f>APPRENANTS!D13</f>
        <v>Réaliser les opérations comptables courantes d'une TPE</v>
      </c>
      <c r="D13" s="6" t="str">
        <f>APPRENANTS!C13</f>
        <v>Sabri</v>
      </c>
      <c r="E13" s="6" t="str">
        <f>APPRENANTS!F13</f>
        <v>2026-03-27</v>
      </c>
      <c r="F13" s="9">
        <f t="shared" si="2"/>
        <v>46143</v>
      </c>
      <c r="G13" s="6" t="str">
        <f>APPRENANTS!G13</f>
        <v>Payé</v>
      </c>
      <c r="H13" s="11">
        <v>0.0</v>
      </c>
      <c r="I13" s="11">
        <v>1500.0</v>
      </c>
      <c r="J13" s="6">
        <f>IF(APPRENANTS!Y13="Oui",IF(H13&gt;0,825,750),0)</f>
        <v>750</v>
      </c>
      <c r="K13" s="11" t="s">
        <v>68</v>
      </c>
      <c r="L13" s="6" t="str">
        <f>IF(APPRENANTS!Y13="Non","Inscription non confirmee",IF(K13="Oui","Payee",IF(F13="","",IF(TODAY()&gt;=F13,"En retard - a verser","A venir"))))</f>
        <v>En retard - a verser</v>
      </c>
      <c r="M13" s="6" t="str">
        <f t="shared" si="3"/>
        <v>mai 2026</v>
      </c>
      <c r="N13" s="6" t="str">
        <f>APPRENANTS!Y13</f>
        <v>Oui</v>
      </c>
      <c r="O13" s="6">
        <f t="shared" ref="O13:P13" si="14">IF($N13="Oui",I13,0)</f>
        <v>1500</v>
      </c>
      <c r="P13" s="6">
        <f t="shared" si="14"/>
        <v>750</v>
      </c>
    </row>
    <row r="14" ht="15.0" customHeight="1">
      <c r="A14" s="6" t="str">
        <f>APPRENANTS!A14</f>
        <v>Proforma Institut</v>
      </c>
      <c r="B14" s="6" t="str">
        <f>APPRENANTS!B14</f>
        <v>GUILLOT Romain</v>
      </c>
      <c r="C14" s="6" t="str">
        <f>APPRENANTS!D14</f>
        <v>Réaliser les opérations comptables courantes d'une TPE</v>
      </c>
      <c r="D14" s="6" t="str">
        <f>APPRENANTS!C14</f>
        <v>Sabri</v>
      </c>
      <c r="E14" s="6" t="str">
        <f>APPRENANTS!F14</f>
        <v>2026-03-27</v>
      </c>
      <c r="F14" s="9">
        <f t="shared" si="2"/>
        <v>46143</v>
      </c>
      <c r="G14" s="6" t="str">
        <f>APPRENANTS!G14</f>
        <v>Payé</v>
      </c>
      <c r="H14" s="11">
        <v>100.0</v>
      </c>
      <c r="I14" s="11">
        <v>1500.0</v>
      </c>
      <c r="J14" s="6">
        <f>IF(APPRENANTS!Y14="Oui",IF(H14&gt;0,825,750),0)</f>
        <v>825</v>
      </c>
      <c r="K14" s="11" t="s">
        <v>68</v>
      </c>
      <c r="L14" s="6" t="str">
        <f>IF(APPRENANTS!Y14="Non","Inscription non confirmee",IF(K14="Oui","Payee",IF(F14="","",IF(TODAY()&gt;=F14,"En retard - a verser","A venir"))))</f>
        <v>En retard - a verser</v>
      </c>
      <c r="M14" s="6" t="str">
        <f t="shared" si="3"/>
        <v>mai 2026</v>
      </c>
      <c r="N14" s="6" t="str">
        <f>APPRENANTS!Y14</f>
        <v>Oui</v>
      </c>
      <c r="O14" s="6">
        <f t="shared" ref="O14:P14" si="15">IF($N14="Oui",I14,0)</f>
        <v>1500</v>
      </c>
      <c r="P14" s="6">
        <f t="shared" si="15"/>
        <v>825</v>
      </c>
    </row>
    <row r="15" ht="15.0" customHeight="1">
      <c r="A15" s="6" t="str">
        <f>APPRENANTS!A15</f>
        <v>Proforma Institut</v>
      </c>
      <c r="B15" s="6" t="str">
        <f>APPRENANTS!B15</f>
        <v>Eric Poggi</v>
      </c>
      <c r="C15" s="6" t="str">
        <f>APPRENANTS!D15</f>
        <v>Développer son activité avec l’intelligence artificielle</v>
      </c>
      <c r="D15" s="6" t="str">
        <f>APPRENANTS!C15</f>
        <v>Sabri</v>
      </c>
      <c r="E15" s="6" t="str">
        <f>APPRENANTS!F15</f>
        <v>2026-04-03</v>
      </c>
      <c r="F15" s="9">
        <f t="shared" si="2"/>
        <v>46150</v>
      </c>
      <c r="G15" s="6" t="str">
        <f>APPRENANTS!G15</f>
        <v>Payé</v>
      </c>
      <c r="H15" s="11">
        <v>100.0</v>
      </c>
      <c r="I15" s="11">
        <v>1500.0</v>
      </c>
      <c r="J15" s="6">
        <f>IF(APPRENANTS!Y15="Oui",IF(H15&gt;0,825,750),0)</f>
        <v>825</v>
      </c>
      <c r="K15" s="11" t="s">
        <v>68</v>
      </c>
      <c r="L15" s="6" t="str">
        <f>IF(APPRENANTS!Y15="Non","Inscription non confirmee",IF(K15="Oui","Payee",IF(F15="","",IF(TODAY()&gt;=F15,"En retard - a verser","A venir"))))</f>
        <v>En retard - a verser</v>
      </c>
      <c r="M15" s="6" t="str">
        <f t="shared" si="3"/>
        <v>mai 2026</v>
      </c>
      <c r="N15" s="6" t="str">
        <f>APPRENANTS!Y15</f>
        <v>Oui</v>
      </c>
      <c r="O15" s="6">
        <f t="shared" ref="O15:P15" si="16">IF($N15="Oui",I15,0)</f>
        <v>1500</v>
      </c>
      <c r="P15" s="6">
        <f t="shared" si="16"/>
        <v>825</v>
      </c>
    </row>
    <row r="16" ht="15.0" customHeight="1">
      <c r="A16" s="6" t="str">
        <f>APPRENANTS!A16</f>
        <v>Proforma Institut</v>
      </c>
      <c r="B16" s="6" t="str">
        <f>APPRENANTS!B16</f>
        <v>SCOTTO D ANIELLO Lisa</v>
      </c>
      <c r="C16" s="6" t="str">
        <f>APPRENANTS!D16</f>
        <v>Développer son activité avec l’intelligence artificielle</v>
      </c>
      <c r="D16" s="6" t="str">
        <f>APPRENANTS!C16</f>
        <v>Sabri</v>
      </c>
      <c r="E16" s="6" t="str">
        <f>APPRENANTS!F16</f>
        <v>2026-04-03</v>
      </c>
      <c r="F16" s="9">
        <f t="shared" si="2"/>
        <v>46150</v>
      </c>
      <c r="G16" s="6" t="str">
        <f>APPRENANTS!G16</f>
        <v>Payé</v>
      </c>
      <c r="H16" s="11">
        <v>100.0</v>
      </c>
      <c r="I16" s="11">
        <v>1500.0</v>
      </c>
      <c r="J16" s="6">
        <f>IF(APPRENANTS!Y16="Oui",IF(H16&gt;0,825,750),0)</f>
        <v>825</v>
      </c>
      <c r="K16" s="11" t="s">
        <v>68</v>
      </c>
      <c r="L16" s="6" t="str">
        <f>IF(APPRENANTS!Y16="Non","Inscription non confirmee",IF(K16="Oui","Payee",IF(F16="","",IF(TODAY()&gt;=F16,"En retard - a verser","A venir"))))</f>
        <v>En retard - a verser</v>
      </c>
      <c r="M16" s="6" t="str">
        <f t="shared" si="3"/>
        <v>mai 2026</v>
      </c>
      <c r="N16" s="6" t="str">
        <f>APPRENANTS!Y16</f>
        <v>Oui</v>
      </c>
      <c r="O16" s="6">
        <f t="shared" ref="O16:P16" si="17">IF($N16="Oui",I16,0)</f>
        <v>1500</v>
      </c>
      <c r="P16" s="6">
        <f t="shared" si="17"/>
        <v>825</v>
      </c>
    </row>
    <row r="17" ht="15.0" customHeight="1">
      <c r="A17" s="6" t="str">
        <f>APPRENANTS!A17</f>
        <v>Proforma Institut</v>
      </c>
      <c r="B17" s="6" t="str">
        <f>APPRENANTS!B17</f>
        <v>Alexandre Francaux</v>
      </c>
      <c r="C17" s="6" t="str">
        <f>APPRENANTS!D17</f>
        <v>Développer son activité avec l’intelligence artificielle</v>
      </c>
      <c r="D17" s="6" t="str">
        <f>APPRENANTS!C17</f>
        <v>Sabri</v>
      </c>
      <c r="E17" s="6" t="str">
        <f>APPRENANTS!F17</f>
        <v>2026-04-03</v>
      </c>
      <c r="F17" s="9">
        <f t="shared" si="2"/>
        <v>46150</v>
      </c>
      <c r="G17" s="6" t="str">
        <f>APPRENANTS!G17</f>
        <v>Payé</v>
      </c>
      <c r="H17" s="11">
        <v>100.0</v>
      </c>
      <c r="I17" s="11">
        <v>1500.0</v>
      </c>
      <c r="J17" s="6">
        <f>IF(APPRENANTS!Y17="Oui",IF(H17&gt;0,825,750),0)</f>
        <v>825</v>
      </c>
      <c r="K17" s="11" t="s">
        <v>68</v>
      </c>
      <c r="L17" s="6" t="str">
        <f>IF(APPRENANTS!Y17="Non","Inscription non confirmee",IF(K17="Oui","Payee",IF(F17="","",IF(TODAY()&gt;=F17,"En retard - a verser","A venir"))))</f>
        <v>En retard - a verser</v>
      </c>
      <c r="M17" s="6" t="str">
        <f t="shared" si="3"/>
        <v>mai 2026</v>
      </c>
      <c r="N17" s="6" t="str">
        <f>APPRENANTS!Y17</f>
        <v>Oui</v>
      </c>
      <c r="O17" s="6">
        <f t="shared" ref="O17:P17" si="18">IF($N17="Oui",I17,0)</f>
        <v>1500</v>
      </c>
      <c r="P17" s="6">
        <f t="shared" si="18"/>
        <v>825</v>
      </c>
    </row>
    <row r="18" ht="15.0" customHeight="1">
      <c r="A18" s="6" t="str">
        <f>APPRENANTS!A18</f>
        <v>Proforma Institut</v>
      </c>
      <c r="B18" s="6" t="str">
        <f>APPRENANTS!B18</f>
        <v>Jauffrey Arezki</v>
      </c>
      <c r="C18" s="6" t="str">
        <f>APPRENANTS!D18</f>
        <v>Développer son activité avec l’intelligence artificielle</v>
      </c>
      <c r="D18" s="6" t="str">
        <f>APPRENANTS!C18</f>
        <v>Sabri</v>
      </c>
      <c r="E18" s="6" t="str">
        <f>APPRENANTS!F18</f>
        <v>2026-04-03</v>
      </c>
      <c r="F18" s="9">
        <f t="shared" si="2"/>
        <v>46150</v>
      </c>
      <c r="G18" s="6" t="str">
        <f>APPRENANTS!G18</f>
        <v>Payé</v>
      </c>
      <c r="H18" s="11">
        <v>100.0</v>
      </c>
      <c r="I18" s="11">
        <v>1500.0</v>
      </c>
      <c r="J18" s="6">
        <f>IF(APPRENANTS!Y18="Oui",IF(H18&gt;0,825,750),0)</f>
        <v>825</v>
      </c>
      <c r="K18" s="11" t="s">
        <v>68</v>
      </c>
      <c r="L18" s="6" t="str">
        <f>IF(APPRENANTS!Y18="Non","Inscription non confirmee",IF(K18="Oui","Payee",IF(F18="","",IF(TODAY()&gt;=F18,"En retard - a verser","A venir"))))</f>
        <v>En retard - a verser</v>
      </c>
      <c r="M18" s="6" t="str">
        <f t="shared" si="3"/>
        <v>mai 2026</v>
      </c>
      <c r="N18" s="6" t="str">
        <f>APPRENANTS!Y18</f>
        <v>Oui</v>
      </c>
      <c r="O18" s="6">
        <f t="shared" ref="O18:P18" si="19">IF($N18="Oui",I18,0)</f>
        <v>1500</v>
      </c>
      <c r="P18" s="6">
        <f t="shared" si="19"/>
        <v>825</v>
      </c>
    </row>
    <row r="19" ht="15.0" customHeight="1">
      <c r="A19" s="6" t="str">
        <f>APPRENANTS!A19</f>
        <v>Proforma Institut</v>
      </c>
      <c r="B19" s="6" t="str">
        <f>APPRENANTS!B19</f>
        <v>NIEL Lucas</v>
      </c>
      <c r="C19" s="6" t="str">
        <f>APPRENANTS!D19</f>
        <v>Développer son activité avec l’intelligence artificielle</v>
      </c>
      <c r="D19" s="6" t="str">
        <f>APPRENANTS!C19</f>
        <v>Sabri</v>
      </c>
      <c r="E19" s="6" t="str">
        <f>APPRENANTS!F19</f>
        <v>2026-04-27</v>
      </c>
      <c r="F19" s="9">
        <f t="shared" si="2"/>
        <v>46174</v>
      </c>
      <c r="G19" s="6" t="str">
        <f>APPRENANTS!G19</f>
        <v>Payé</v>
      </c>
      <c r="H19" s="11">
        <v>100.0</v>
      </c>
      <c r="I19" s="11">
        <v>1500.0</v>
      </c>
      <c r="J19" s="6">
        <f>IF(APPRENANTS!Y19="Oui",IF(H19&gt;0,825,750),0)</f>
        <v>825</v>
      </c>
      <c r="K19" s="11" t="s">
        <v>68</v>
      </c>
      <c r="L19" s="6" t="str">
        <f>IF(APPRENANTS!Y19="Non","Inscription non confirmee",IF(K19="Oui","Payee",IF(F19="","",IF(TODAY()&gt;=F19,"En retard - a verser","A venir"))))</f>
        <v>En retard - a verser</v>
      </c>
      <c r="M19" s="6" t="str">
        <f t="shared" si="3"/>
        <v>juin 2026</v>
      </c>
      <c r="N19" s="6" t="str">
        <f>APPRENANTS!Y19</f>
        <v>Oui</v>
      </c>
      <c r="O19" s="6">
        <f t="shared" ref="O19:P19" si="20">IF($N19="Oui",I19,0)</f>
        <v>1500</v>
      </c>
      <c r="P19" s="6">
        <f t="shared" si="20"/>
        <v>825</v>
      </c>
    </row>
    <row r="20" ht="15.0" customHeight="1">
      <c r="A20" s="6" t="str">
        <f>APPRENANTS!A20</f>
        <v>Proforma Institut</v>
      </c>
      <c r="B20" s="6" t="str">
        <f>APPRENANTS!B20</f>
        <v>GIACALONE Thomas</v>
      </c>
      <c r="C20" s="6" t="str">
        <f>APPRENANTS!D20</f>
        <v>Développer son activité avec l’intelligence artificielle</v>
      </c>
      <c r="D20" s="6" t="str">
        <f>APPRENANTS!C20</f>
        <v>Sabri</v>
      </c>
      <c r="E20" s="6" t="str">
        <f>APPRENANTS!F20</f>
        <v>2026-04-27</v>
      </c>
      <c r="F20" s="9">
        <f t="shared" si="2"/>
        <v>46174</v>
      </c>
      <c r="G20" s="6" t="str">
        <f>APPRENANTS!G20</f>
        <v>Payé</v>
      </c>
      <c r="H20" s="11">
        <v>100.0</v>
      </c>
      <c r="I20" s="11">
        <v>1500.0</v>
      </c>
      <c r="J20" s="6">
        <f>IF(APPRENANTS!Y20="Oui",IF(H20&gt;0,825,750),0)</f>
        <v>825</v>
      </c>
      <c r="K20" s="11" t="s">
        <v>68</v>
      </c>
      <c r="L20" s="6" t="str">
        <f>IF(APPRENANTS!Y20="Non","Inscription non confirmee",IF(K20="Oui","Payee",IF(F20="","",IF(TODAY()&gt;=F20,"En retard - a verser","A venir"))))</f>
        <v>En retard - a verser</v>
      </c>
      <c r="M20" s="6" t="str">
        <f t="shared" si="3"/>
        <v>juin 2026</v>
      </c>
      <c r="N20" s="6" t="str">
        <f>APPRENANTS!Y20</f>
        <v>Oui</v>
      </c>
      <c r="O20" s="6">
        <f t="shared" ref="O20:P20" si="21">IF($N20="Oui",I20,0)</f>
        <v>1500</v>
      </c>
      <c r="P20" s="6">
        <f t="shared" si="21"/>
        <v>825</v>
      </c>
    </row>
    <row r="21" ht="15.0" customHeight="1">
      <c r="A21" s="6" t="str">
        <f>APPRENANTS!A21</f>
        <v>Proforma Institut</v>
      </c>
      <c r="B21" s="6" t="str">
        <f>APPRENANTS!B21</f>
        <v>Alain PEYRON-BENOIT</v>
      </c>
      <c r="C21" s="6" t="str">
        <f>APPRENANTS!D21</f>
        <v>Développer son activité avec l’intelligence artificielle</v>
      </c>
      <c r="D21" s="6" t="str">
        <f>APPRENANTS!C21</f>
        <v>Moh</v>
      </c>
      <c r="E21" s="6" t="str">
        <f>APPRENANTS!F21</f>
        <v>2026-04-27</v>
      </c>
      <c r="F21" s="9">
        <f t="shared" si="2"/>
        <v>46174</v>
      </c>
      <c r="G21" s="6" t="str">
        <f>APPRENANTS!G21</f>
        <v>Payé</v>
      </c>
      <c r="H21" s="11">
        <v>100.0</v>
      </c>
      <c r="I21" s="11">
        <v>1500.0</v>
      </c>
      <c r="J21" s="6">
        <f>IF(APPRENANTS!Y21="Oui",IF(H21&gt;0,825,750),0)</f>
        <v>825</v>
      </c>
      <c r="K21" s="11" t="s">
        <v>68</v>
      </c>
      <c r="L21" s="6" t="str">
        <f>IF(APPRENANTS!Y21="Non","Inscription non confirmee",IF(K21="Oui","Payee",IF(F21="","",IF(TODAY()&gt;=F21,"En retard - a verser","A venir"))))</f>
        <v>En retard - a verser</v>
      </c>
      <c r="M21" s="6" t="str">
        <f t="shared" si="3"/>
        <v>juin 2026</v>
      </c>
      <c r="N21" s="6" t="str">
        <f>APPRENANTS!Y21</f>
        <v>Oui</v>
      </c>
      <c r="O21" s="6">
        <f t="shared" ref="O21:P21" si="22">IF($N21="Oui",I21,0)</f>
        <v>1500</v>
      </c>
      <c r="P21" s="6">
        <f t="shared" si="22"/>
        <v>825</v>
      </c>
    </row>
    <row r="22" ht="15.0" customHeight="1">
      <c r="A22" s="6" t="str">
        <f>APPRENANTS!A22</f>
        <v>Proforma Institut</v>
      </c>
      <c r="B22" s="6" t="str">
        <f>APPRENANTS!B22</f>
        <v>TROUSSELLE Thomas</v>
      </c>
      <c r="C22" s="6" t="str">
        <f>APPRENANTS!D22</f>
        <v>Développer son activité avec l’intelligence artificielle</v>
      </c>
      <c r="D22" s="6" t="str">
        <f>APPRENANTS!C22</f>
        <v>Moh</v>
      </c>
      <c r="E22" s="6" t="str">
        <f>APPRENANTS!F22</f>
        <v>2026-04-27</v>
      </c>
      <c r="F22" s="9">
        <f t="shared" si="2"/>
        <v>46174</v>
      </c>
      <c r="G22" s="6" t="str">
        <f>APPRENANTS!G22</f>
        <v>Payé</v>
      </c>
      <c r="H22" s="11">
        <v>100.0</v>
      </c>
      <c r="I22" s="11">
        <v>1500.0</v>
      </c>
      <c r="J22" s="6">
        <f>IF(APPRENANTS!Y22="Oui",IF(H22&gt;0,825,750),0)</f>
        <v>825</v>
      </c>
      <c r="K22" s="11" t="s">
        <v>68</v>
      </c>
      <c r="L22" s="6" t="str">
        <f>IF(APPRENANTS!Y22="Non","Inscription non confirmee",IF(K22="Oui","Payee",IF(F22="","",IF(TODAY()&gt;=F22,"En retard - a verser","A venir"))))</f>
        <v>En retard - a verser</v>
      </c>
      <c r="M22" s="6" t="str">
        <f t="shared" si="3"/>
        <v>juin 2026</v>
      </c>
      <c r="N22" s="6" t="str">
        <f>APPRENANTS!Y22</f>
        <v>Oui</v>
      </c>
      <c r="O22" s="6">
        <f t="shared" ref="O22:P22" si="23">IF($N22="Oui",I22,0)</f>
        <v>1500</v>
      </c>
      <c r="P22" s="6">
        <f t="shared" si="23"/>
        <v>825</v>
      </c>
    </row>
    <row r="23" ht="15.0" customHeight="1">
      <c r="A23" s="6" t="str">
        <f>APPRENANTS!A23</f>
        <v>Proforma Institut</v>
      </c>
      <c r="B23" s="6" t="str">
        <f>APPRENANTS!B23</f>
        <v>PREVOST Florian</v>
      </c>
      <c r="C23" s="6" t="str">
        <f>APPRENANTS!D23</f>
        <v>Développer son activité avec l’intelligence artificielle</v>
      </c>
      <c r="D23" s="6" t="str">
        <f>APPRENANTS!C23</f>
        <v>Moh</v>
      </c>
      <c r="E23" s="6" t="str">
        <f>APPRENANTS!F23</f>
        <v>2026-04-27</v>
      </c>
      <c r="F23" s="9">
        <f t="shared" si="2"/>
        <v>46174</v>
      </c>
      <c r="G23" s="6" t="str">
        <f>APPRENANTS!G23</f>
        <v>Payé</v>
      </c>
      <c r="H23" s="11">
        <v>100.0</v>
      </c>
      <c r="I23" s="11">
        <v>1500.0</v>
      </c>
      <c r="J23" s="6">
        <f>IF(APPRENANTS!Y23="Oui",IF(H23&gt;0,825,750),0)</f>
        <v>825</v>
      </c>
      <c r="K23" s="11" t="s">
        <v>68</v>
      </c>
      <c r="L23" s="6" t="str">
        <f>IF(APPRENANTS!Y23="Non","Inscription non confirmee",IF(K23="Oui","Payee",IF(F23="","",IF(TODAY()&gt;=F23,"En retard - a verser","A venir"))))</f>
        <v>En retard - a verser</v>
      </c>
      <c r="M23" s="6" t="str">
        <f t="shared" si="3"/>
        <v>juin 2026</v>
      </c>
      <c r="N23" s="6" t="str">
        <f>APPRENANTS!Y23</f>
        <v>Oui</v>
      </c>
      <c r="O23" s="6">
        <f t="shared" ref="O23:P23" si="24">IF($N23="Oui",I23,0)</f>
        <v>1500</v>
      </c>
      <c r="P23" s="6">
        <f t="shared" si="24"/>
        <v>825</v>
      </c>
    </row>
    <row r="24" ht="15.0" customHeight="1">
      <c r="A24" s="6" t="str">
        <f>APPRENANTS!A24</f>
        <v>Proforma Institut</v>
      </c>
      <c r="B24" s="6" t="str">
        <f>APPRENANTS!B24</f>
        <v>DJIBILIAN Yoann</v>
      </c>
      <c r="C24" s="6" t="str">
        <f>APPRENANTS!D24</f>
        <v>Développer son activité avec l’intelligence artificielle</v>
      </c>
      <c r="D24" s="6" t="str">
        <f>APPRENANTS!C24</f>
        <v>Nedjma</v>
      </c>
      <c r="E24" s="6" t="str">
        <f>APPRENANTS!F24</f>
        <v>2026-04-27</v>
      </c>
      <c r="F24" s="9">
        <f t="shared" si="2"/>
        <v>46174</v>
      </c>
      <c r="G24" s="6" t="str">
        <f>APPRENANTS!G24</f>
        <v>Payé</v>
      </c>
      <c r="H24" s="11">
        <v>0.0</v>
      </c>
      <c r="I24" s="11">
        <v>1500.0</v>
      </c>
      <c r="J24" s="6">
        <f>IF(APPRENANTS!Y24="Oui",IF(H24&gt;0,825,750),0)</f>
        <v>750</v>
      </c>
      <c r="K24" s="11" t="s">
        <v>68</v>
      </c>
      <c r="L24" s="6" t="str">
        <f>IF(APPRENANTS!Y24="Non","Inscription non confirmee",IF(K24="Oui","Payee",IF(F24="","",IF(TODAY()&gt;=F24,"En retard - a verser","A venir"))))</f>
        <v>En retard - a verser</v>
      </c>
      <c r="M24" s="6" t="str">
        <f t="shared" si="3"/>
        <v>juin 2026</v>
      </c>
      <c r="N24" s="6" t="str">
        <f>APPRENANTS!Y24</f>
        <v>Oui</v>
      </c>
      <c r="O24" s="6">
        <f t="shared" ref="O24:P24" si="25">IF($N24="Oui",I24,0)</f>
        <v>1500</v>
      </c>
      <c r="P24" s="6">
        <f t="shared" si="25"/>
        <v>750</v>
      </c>
    </row>
    <row r="25" ht="15.0" customHeight="1">
      <c r="A25" s="6" t="str">
        <f>APPRENANTS!A25</f>
        <v>Proforma Institut</v>
      </c>
      <c r="B25" s="6" t="str">
        <f>APPRENANTS!B25</f>
        <v>ROUAISSI Moncef</v>
      </c>
      <c r="C25" s="6" t="str">
        <f>APPRENANTS!D25</f>
        <v>Développer son activité avec l’intelligence artificielle</v>
      </c>
      <c r="D25" s="6" t="str">
        <f>APPRENANTS!C25</f>
        <v>Nedjma</v>
      </c>
      <c r="E25" s="6" t="str">
        <f>APPRENANTS!F25</f>
        <v>2026-05-22</v>
      </c>
      <c r="F25" s="9">
        <f t="shared" si="2"/>
        <v>46199</v>
      </c>
      <c r="G25" s="6" t="str">
        <f>APPRENANTS!G25</f>
        <v>Payé</v>
      </c>
      <c r="H25" s="11">
        <v>150.0</v>
      </c>
      <c r="I25" s="11">
        <v>1500.0</v>
      </c>
      <c r="J25" s="6">
        <f>IF(APPRENANTS!Y25="Oui",IF(H25&gt;0,825,750),0)</f>
        <v>825</v>
      </c>
      <c r="K25" s="11" t="s">
        <v>68</v>
      </c>
      <c r="L25" s="6" t="str">
        <f>IF(APPRENANTS!Y25="Non","Inscription non confirmee",IF(K25="Oui","Payee",IF(F25="","",IF(TODAY()&gt;=F25,"En retard - a verser","A venir"))))</f>
        <v>En retard - a verser</v>
      </c>
      <c r="M25" s="6" t="str">
        <f t="shared" si="3"/>
        <v>juin 2026</v>
      </c>
      <c r="N25" s="6" t="str">
        <f>APPRENANTS!Y25</f>
        <v>Oui</v>
      </c>
      <c r="O25" s="6">
        <f t="shared" ref="O25:P25" si="26">IF($N25="Oui",I25,0)</f>
        <v>1500</v>
      </c>
      <c r="P25" s="6">
        <f t="shared" si="26"/>
        <v>825</v>
      </c>
    </row>
    <row r="26" ht="15.0" customHeight="1">
      <c r="A26" s="6" t="str">
        <f>APPRENANTS!A26</f>
        <v>Proforma Institut</v>
      </c>
      <c r="B26" s="6" t="str">
        <f>APPRENANTS!B26</f>
        <v>BOUTI Yazid</v>
      </c>
      <c r="C26" s="6" t="str">
        <f>APPRENANTS!D26</f>
        <v>Développer son activité avec l’intelligence artificielle</v>
      </c>
      <c r="D26" s="6" t="str">
        <f>APPRENANTS!C26</f>
        <v>Nedjma</v>
      </c>
      <c r="E26" s="6" t="str">
        <f>APPRENANTS!F26</f>
        <v>2026-05-22</v>
      </c>
      <c r="F26" s="9">
        <f t="shared" si="2"/>
        <v>46199</v>
      </c>
      <c r="G26" s="6" t="str">
        <f>APPRENANTS!G26</f>
        <v>Payé</v>
      </c>
      <c r="H26" s="11">
        <v>150.0</v>
      </c>
      <c r="I26" s="11">
        <v>1500.0</v>
      </c>
      <c r="J26" s="6">
        <f>IF(APPRENANTS!Y26="Oui",IF(H26&gt;0,825,750),0)</f>
        <v>825</v>
      </c>
      <c r="K26" s="11" t="s">
        <v>68</v>
      </c>
      <c r="L26" s="6" t="str">
        <f>IF(APPRENANTS!Y26="Non","Inscription non confirmee",IF(K26="Oui","Payee",IF(F26="","",IF(TODAY()&gt;=F26,"En retard - a verser","A venir"))))</f>
        <v>En retard - a verser</v>
      </c>
      <c r="M26" s="6" t="str">
        <f t="shared" si="3"/>
        <v>juin 2026</v>
      </c>
      <c r="N26" s="6" t="str">
        <f>APPRENANTS!Y26</f>
        <v>Oui</v>
      </c>
      <c r="O26" s="6">
        <f t="shared" ref="O26:P26" si="27">IF($N26="Oui",I26,0)</f>
        <v>1500</v>
      </c>
      <c r="P26" s="6">
        <f t="shared" si="27"/>
        <v>825</v>
      </c>
    </row>
    <row r="27" ht="15.0" customHeight="1">
      <c r="A27" s="6" t="str">
        <f>APPRENANTS!A27</f>
        <v>Proforma Institut</v>
      </c>
      <c r="B27" s="6" t="str">
        <f>APPRENANTS!B27</f>
        <v>KOUIDER Alexandre</v>
      </c>
      <c r="C27" s="6" t="str">
        <f>APPRENANTS!D27</f>
        <v>Développer son activité avec l’intelligence artificielle</v>
      </c>
      <c r="D27" s="6" t="str">
        <f>APPRENANTS!C27</f>
        <v>Sabri</v>
      </c>
      <c r="E27" s="6" t="str">
        <f>APPRENANTS!F27</f>
        <v>2026-05-22</v>
      </c>
      <c r="F27" s="9">
        <f t="shared" si="2"/>
        <v>46199</v>
      </c>
      <c r="G27" s="6" t="str">
        <f>APPRENANTS!G27</f>
        <v>Payé</v>
      </c>
      <c r="H27" s="11">
        <v>150.0</v>
      </c>
      <c r="I27" s="11">
        <v>1500.0</v>
      </c>
      <c r="J27" s="6">
        <f>IF(APPRENANTS!Y27="Oui",IF(H27&gt;0,825,750),0)</f>
        <v>825</v>
      </c>
      <c r="K27" s="11" t="s">
        <v>68</v>
      </c>
      <c r="L27" s="6" t="str">
        <f>IF(APPRENANTS!Y27="Non","Inscription non confirmee",IF(K27="Oui","Payee",IF(F27="","",IF(TODAY()&gt;=F27,"En retard - a verser","A venir"))))</f>
        <v>En retard - a verser</v>
      </c>
      <c r="M27" s="6" t="str">
        <f t="shared" si="3"/>
        <v>juin 2026</v>
      </c>
      <c r="N27" s="6" t="str">
        <f>APPRENANTS!Y27</f>
        <v>Oui</v>
      </c>
      <c r="O27" s="6">
        <f t="shared" ref="O27:P27" si="28">IF($N27="Oui",I27,0)</f>
        <v>1500</v>
      </c>
      <c r="P27" s="6">
        <f t="shared" si="28"/>
        <v>825</v>
      </c>
    </row>
    <row r="28" ht="15.0" customHeight="1">
      <c r="A28" s="6" t="str">
        <f>APPRENANTS!A28</f>
        <v>Proforma Institut</v>
      </c>
      <c r="B28" s="6" t="str">
        <f>APPRENANTS!B28</f>
        <v>SOLAITIN Mathieu</v>
      </c>
      <c r="C28" s="6" t="str">
        <f>APPRENANTS!D28</f>
        <v>Développer son activité avec l’intelligence artificielle</v>
      </c>
      <c r="D28" s="6" t="str">
        <f>APPRENANTS!C28</f>
        <v>Sabri</v>
      </c>
      <c r="E28" s="6" t="str">
        <f>APPRENANTS!F28</f>
        <v>2026-05-29</v>
      </c>
      <c r="F28" s="9">
        <f t="shared" si="2"/>
        <v>46206</v>
      </c>
      <c r="G28" s="6" t="str">
        <f>APPRENANTS!G28</f>
        <v>Payé</v>
      </c>
      <c r="H28" s="11">
        <v>150.0</v>
      </c>
      <c r="I28" s="11">
        <v>1500.0</v>
      </c>
      <c r="J28" s="6">
        <f>IF(APPRENANTS!Y28="Oui",IF(H28&gt;0,825,750),0)</f>
        <v>825</v>
      </c>
      <c r="K28" s="11" t="s">
        <v>68</v>
      </c>
      <c r="L28" s="6" t="str">
        <f>IF(APPRENANTS!Y28="Non","Inscription non confirmee",IF(K28="Oui","Payee",IF(F28="","",IF(TODAY()&gt;=F28,"En retard - a verser","A venir"))))</f>
        <v>En retard - a verser</v>
      </c>
      <c r="M28" s="6" t="str">
        <f t="shared" si="3"/>
        <v>juillet 2026</v>
      </c>
      <c r="N28" s="6" t="str">
        <f>APPRENANTS!Y28</f>
        <v>Oui</v>
      </c>
      <c r="O28" s="6">
        <f t="shared" ref="O28:P28" si="29">IF($N28="Oui",I28,0)</f>
        <v>1500</v>
      </c>
      <c r="P28" s="6">
        <f t="shared" si="29"/>
        <v>825</v>
      </c>
    </row>
    <row r="29" ht="15.0" customHeight="1">
      <c r="A29" s="6" t="str">
        <f>APPRENANTS!A29</f>
        <v>Proforma Institut</v>
      </c>
      <c r="B29" s="6" t="str">
        <f>APPRENANTS!B29</f>
        <v>Alexandre Schmerber</v>
      </c>
      <c r="C29" s="6" t="str">
        <f>APPRENANTS!D29</f>
        <v>Développer son activité avec l’intelligence artificielle</v>
      </c>
      <c r="D29" s="6" t="str">
        <f>APPRENANTS!C29</f>
        <v>Sabri</v>
      </c>
      <c r="E29" s="6" t="str">
        <f>APPRENANTS!F29</f>
        <v>2026-05-29</v>
      </c>
      <c r="F29" s="9">
        <f t="shared" si="2"/>
        <v>46206</v>
      </c>
      <c r="G29" s="6" t="str">
        <f>APPRENANTS!G29</f>
        <v>Payé</v>
      </c>
      <c r="H29" s="11">
        <v>0.0</v>
      </c>
      <c r="I29" s="11">
        <v>1500.0</v>
      </c>
      <c r="J29" s="6">
        <f>IF(APPRENANTS!Y29="Oui",IF(H29&gt;0,825,750),0)</f>
        <v>750</v>
      </c>
      <c r="K29" s="11" t="s">
        <v>68</v>
      </c>
      <c r="L29" s="6" t="str">
        <f>IF(APPRENANTS!Y29="Non","Inscription non confirmee",IF(K29="Oui","Payee",IF(F29="","",IF(TODAY()&gt;=F29,"En retard - a verser","A venir"))))</f>
        <v>En retard - a verser</v>
      </c>
      <c r="M29" s="6" t="str">
        <f t="shared" si="3"/>
        <v>juillet 2026</v>
      </c>
      <c r="N29" s="6" t="str">
        <f>APPRENANTS!Y29</f>
        <v>Oui</v>
      </c>
      <c r="O29" s="6">
        <f t="shared" ref="O29:P29" si="30">IF($N29="Oui",I29,0)</f>
        <v>1500</v>
      </c>
      <c r="P29" s="6">
        <f t="shared" si="30"/>
        <v>750</v>
      </c>
    </row>
    <row r="30" ht="15.0" customHeight="1">
      <c r="A30" s="6" t="str">
        <f>APPRENANTS!A30</f>
        <v>Proforma Institut</v>
      </c>
      <c r="B30" s="6" t="str">
        <f>APPRENANTS!B30</f>
        <v>CHAFIL Amine</v>
      </c>
      <c r="C30" s="6" t="str">
        <f>APPRENANTS!D30</f>
        <v>Développer son activité avec l’intelligence artificielle</v>
      </c>
      <c r="D30" s="6" t="str">
        <f>APPRENANTS!C30</f>
        <v/>
      </c>
      <c r="E30" s="6" t="str">
        <f>APPRENANTS!F30</f>
        <v>2026-06-13</v>
      </c>
      <c r="F30" s="9">
        <f t="shared" si="2"/>
        <v>46221</v>
      </c>
      <c r="G30" s="6" t="str">
        <f>APPRENANTS!G30</f>
        <v>Accepté</v>
      </c>
      <c r="H30" s="11">
        <v>150.0</v>
      </c>
      <c r="I30" s="11">
        <v>1500.0</v>
      </c>
      <c r="J30" s="6">
        <f>IF(APPRENANTS!Y30="Oui",IF(H30&gt;0,825,750),0)</f>
        <v>825</v>
      </c>
      <c r="K30" s="11" t="s">
        <v>68</v>
      </c>
      <c r="L30" s="6" t="str">
        <f>IF(APPRENANTS!Y30="Non","Inscription non confirmee",IF(K30="Oui","Payee",IF(F30="","",IF(TODAY()&gt;=F30,"En retard - a verser","A venir"))))</f>
        <v>En retard - a verser</v>
      </c>
      <c r="M30" s="6" t="str">
        <f t="shared" si="3"/>
        <v>juillet 2026</v>
      </c>
      <c r="N30" s="6" t="str">
        <f>APPRENANTS!Y30</f>
        <v>Oui</v>
      </c>
      <c r="O30" s="6">
        <f t="shared" ref="O30:P30" si="31">IF($N30="Oui",I30,0)</f>
        <v>1500</v>
      </c>
      <c r="P30" s="6">
        <f t="shared" si="31"/>
        <v>825</v>
      </c>
    </row>
    <row r="31" ht="15.0" customHeight="1">
      <c r="A31" s="6" t="str">
        <f>APPRENANTS!A31</f>
        <v>Proforma Institut</v>
      </c>
      <c r="B31" s="6" t="str">
        <f>APPRENANTS!B31</f>
        <v>MARIOTTI Regis</v>
      </c>
      <c r="C31" s="6" t="str">
        <f>APPRENANTS!D31</f>
        <v>Développer son activité avec l’intelligence artificielle</v>
      </c>
      <c r="D31" s="6" t="str">
        <f>APPRENANTS!C31</f>
        <v>Sabri</v>
      </c>
      <c r="E31" s="6" t="str">
        <f>APPRENANTS!F31</f>
        <v>2026-06-13</v>
      </c>
      <c r="F31" s="9">
        <f t="shared" si="2"/>
        <v>46221</v>
      </c>
      <c r="G31" s="6" t="str">
        <f>APPRENANTS!G31</f>
        <v>Accepté</v>
      </c>
      <c r="H31" s="11">
        <v>150.0</v>
      </c>
      <c r="I31" s="11">
        <v>1500.0</v>
      </c>
      <c r="J31" s="6">
        <f>IF(APPRENANTS!Y31="Oui",IF(H31&gt;0,825,750),0)</f>
        <v>825</v>
      </c>
      <c r="K31" s="11" t="s">
        <v>68</v>
      </c>
      <c r="L31" s="6" t="str">
        <f>IF(APPRENANTS!Y31="Non","Inscription non confirmee",IF(K31="Oui","Payee",IF(F31="","",IF(TODAY()&gt;=F31,"En retard - a verser","A venir"))))</f>
        <v>En retard - a verser</v>
      </c>
      <c r="M31" s="6" t="str">
        <f t="shared" si="3"/>
        <v>juillet 2026</v>
      </c>
      <c r="N31" s="6" t="str">
        <f>APPRENANTS!Y31</f>
        <v>Oui</v>
      </c>
      <c r="O31" s="6">
        <f t="shared" ref="O31:P31" si="32">IF($N31="Oui",I31,0)</f>
        <v>1500</v>
      </c>
      <c r="P31" s="6">
        <f t="shared" si="32"/>
        <v>825</v>
      </c>
    </row>
    <row r="32" ht="15.0" customHeight="1">
      <c r="A32" s="6" t="str">
        <f>APPRENANTS!A32</f>
        <v>Proforma Institut</v>
      </c>
      <c r="B32" s="6" t="str">
        <f>APPRENANTS!B32</f>
        <v>GAUTHEROT Pascal</v>
      </c>
      <c r="C32" s="6" t="str">
        <f>APPRENANTS!D32</f>
        <v>Améliorer l'efficacité de sa TPE à l'aide de l'IA</v>
      </c>
      <c r="D32" s="6" t="str">
        <f>APPRENANTS!C32</f>
        <v>GRAS</v>
      </c>
      <c r="E32" s="6" t="str">
        <f>APPRENANTS!F32</f>
        <v>2026-06-20</v>
      </c>
      <c r="F32" s="9">
        <f t="shared" si="2"/>
        <v>46228</v>
      </c>
      <c r="G32" s="6" t="str">
        <f>APPRENANTS!G32</f>
        <v>Accepté</v>
      </c>
      <c r="H32" s="11">
        <v>0.0</v>
      </c>
      <c r="I32" s="11">
        <v>1500.0</v>
      </c>
      <c r="J32" s="6">
        <f>IF(APPRENANTS!Y32="Oui",IF(H32&gt;0,825,750),0)</f>
        <v>750</v>
      </c>
      <c r="K32" s="11" t="s">
        <v>68</v>
      </c>
      <c r="L32" s="6" t="str">
        <f>IF(APPRENANTS!Y32="Non","Inscription non confirmee",IF(K32="Oui","Payee",IF(F32="","",IF(TODAY()&gt;=F32,"En retard - a verser","A venir"))))</f>
        <v>A venir</v>
      </c>
      <c r="M32" s="6" t="str">
        <f t="shared" si="3"/>
        <v>juillet 2026</v>
      </c>
      <c r="N32" s="6" t="str">
        <f>APPRENANTS!Y32</f>
        <v>Oui</v>
      </c>
      <c r="O32" s="6">
        <f t="shared" ref="O32:P32" si="33">IF($N32="Oui",I32,0)</f>
        <v>1500</v>
      </c>
      <c r="P32" s="6">
        <f t="shared" si="33"/>
        <v>750</v>
      </c>
    </row>
    <row r="33" ht="15.0" customHeight="1">
      <c r="A33" s="6" t="str">
        <f>APPRENANTS!A33</f>
        <v>Proforma Institut</v>
      </c>
      <c r="B33" s="6" t="str">
        <f>APPRENANTS!B33</f>
        <v>GAUTHEROT Pascal</v>
      </c>
      <c r="C33" s="6" t="str">
        <f>APPRENANTS!D33</f>
        <v>Communiquer sur les réseaux sociaux pour promouvoir sa TPE</v>
      </c>
      <c r="D33" s="6" t="str">
        <f>APPRENANTS!C33</f>
        <v>GRAS</v>
      </c>
      <c r="E33" s="6" t="str">
        <f>APPRENANTS!F33</f>
        <v>2026-06-27</v>
      </c>
      <c r="F33" s="9">
        <f t="shared" si="2"/>
        <v>46235</v>
      </c>
      <c r="G33" s="6" t="str">
        <f>APPRENANTS!G33</f>
        <v>Accepté</v>
      </c>
      <c r="H33" s="11">
        <v>0.0</v>
      </c>
      <c r="I33" s="11">
        <v>1500.0</v>
      </c>
      <c r="J33" s="6">
        <f>IF(APPRENANTS!Y33="Oui",IF(H33&gt;0,825,750),0)</f>
        <v>750</v>
      </c>
      <c r="K33" s="11" t="s">
        <v>68</v>
      </c>
      <c r="L33" s="6" t="str">
        <f>IF(APPRENANTS!Y33="Non","Inscription non confirmee",IF(K33="Oui","Payee",IF(F33="","",IF(TODAY()&gt;=F33,"En retard - a verser","A venir"))))</f>
        <v>A venir</v>
      </c>
      <c r="M33" s="6" t="str">
        <f t="shared" si="3"/>
        <v>aout 2026</v>
      </c>
      <c r="N33" s="6" t="str">
        <f>APPRENANTS!Y33</f>
        <v>Oui</v>
      </c>
      <c r="O33" s="6">
        <f t="shared" ref="O33:P33" si="34">IF($N33="Oui",I33,0)</f>
        <v>1500</v>
      </c>
      <c r="P33" s="6">
        <f t="shared" si="34"/>
        <v>750</v>
      </c>
    </row>
    <row r="34" ht="15.0" customHeight="1">
      <c r="A34" s="6" t="str">
        <f>APPRENANTS!A34</f>
        <v>Proforma Institut</v>
      </c>
      <c r="B34" s="6" t="str">
        <f>APPRENANTS!B34</f>
        <v>GAUTHEROT Pascal</v>
      </c>
      <c r="C34" s="6" t="str">
        <f>APPRENANTS!D34</f>
        <v>Réaliser les opérations comptables courantes d'une TPE</v>
      </c>
      <c r="D34" s="6" t="str">
        <f>APPRENANTS!C34</f>
        <v>GRAS</v>
      </c>
      <c r="E34" s="6" t="str">
        <f>APPRENANTS!F34</f>
        <v>2026-07-04</v>
      </c>
      <c r="F34" s="9">
        <f t="shared" si="2"/>
        <v>46242</v>
      </c>
      <c r="G34" s="6" t="str">
        <f>APPRENANTS!G34</f>
        <v>Accepté</v>
      </c>
      <c r="H34" s="11">
        <v>0.0</v>
      </c>
      <c r="I34" s="11">
        <v>1500.0</v>
      </c>
      <c r="J34" s="6">
        <f>IF(APPRENANTS!Y34="Oui",IF(H34&gt;0,825,750),0)</f>
        <v>750</v>
      </c>
      <c r="K34" s="11" t="s">
        <v>68</v>
      </c>
      <c r="L34" s="6" t="str">
        <f>IF(APPRENANTS!Y34="Non","Inscription non confirmee",IF(K34="Oui","Payee",IF(F34="","",IF(TODAY()&gt;=F34,"En retard - a verser","A venir"))))</f>
        <v>A venir</v>
      </c>
      <c r="M34" s="6" t="str">
        <f t="shared" si="3"/>
        <v>aout 2026</v>
      </c>
      <c r="N34" s="6" t="str">
        <f>APPRENANTS!Y34</f>
        <v>Oui</v>
      </c>
      <c r="O34" s="6">
        <f t="shared" ref="O34:P34" si="35">IF($N34="Oui",I34,0)</f>
        <v>1500</v>
      </c>
      <c r="P34" s="6">
        <f t="shared" si="35"/>
        <v>750</v>
      </c>
    </row>
    <row r="35" ht="15.0" customHeight="1">
      <c r="A35" s="6" t="str">
        <f>APPRENANTS!A35</f>
        <v>Proforma Institut</v>
      </c>
      <c r="B35" s="6" t="str">
        <f>APPRENANTS!B35</f>
        <v>VIRAPHONG Thuy</v>
      </c>
      <c r="C35" s="6" t="str">
        <f>APPRENANTS!D35</f>
        <v>Développer son activité avec l’intelligence artificielle</v>
      </c>
      <c r="D35" s="6" t="str">
        <f>APPRENANTS!C35</f>
        <v>jules</v>
      </c>
      <c r="E35" s="6" t="str">
        <f>APPRENANTS!F35</f>
        <v>2026-06-20</v>
      </c>
      <c r="F35" s="9">
        <f t="shared" si="2"/>
        <v>46228</v>
      </c>
      <c r="G35" s="6" t="str">
        <f>APPRENANTS!G35</f>
        <v>Accepté</v>
      </c>
      <c r="H35" s="11">
        <v>0.0</v>
      </c>
      <c r="I35" s="11">
        <v>1500.0</v>
      </c>
      <c r="J35" s="6">
        <f>IF(APPRENANTS!Y35="Oui",IF(H35&gt;0,825,750),0)</f>
        <v>750</v>
      </c>
      <c r="K35" s="11" t="s">
        <v>68</v>
      </c>
      <c r="L35" s="6" t="str">
        <f>IF(APPRENANTS!Y35="Non","Inscription non confirmee",IF(K35="Oui","Payee",IF(F35="","",IF(TODAY()&gt;=F35,"En retard - a verser","A venir"))))</f>
        <v>A venir</v>
      </c>
      <c r="M35" s="6" t="str">
        <f t="shared" si="3"/>
        <v>juillet 2026</v>
      </c>
      <c r="N35" s="6" t="str">
        <f>APPRENANTS!Y35</f>
        <v>Oui</v>
      </c>
      <c r="O35" s="6">
        <f t="shared" ref="O35:P35" si="36">IF($N35="Oui",I35,0)</f>
        <v>1500</v>
      </c>
      <c r="P35" s="6">
        <f t="shared" si="36"/>
        <v>750</v>
      </c>
    </row>
    <row r="36" ht="15.0" customHeight="1">
      <c r="A36" s="6" t="str">
        <f>APPRENANTS!A36</f>
        <v>Proforma Institut</v>
      </c>
      <c r="B36" s="6" t="str">
        <f>APPRENANTS!B36</f>
        <v>POGGI Eric</v>
      </c>
      <c r="C36" s="6" t="str">
        <f>APPRENANTS!D36</f>
        <v/>
      </c>
      <c r="D36" s="6" t="str">
        <f>APPRENANTS!C36</f>
        <v>Sabri</v>
      </c>
      <c r="E36" s="6" t="str">
        <f>APPRENANTS!F36</f>
        <v>2026-06-20</v>
      </c>
      <c r="F36" s="9">
        <f t="shared" si="2"/>
        <v>46228</v>
      </c>
      <c r="G36" s="6" t="str">
        <f>APPRENANTS!G36</f>
        <v>Accepté</v>
      </c>
      <c r="H36" s="11">
        <v>0.0</v>
      </c>
      <c r="I36" s="11">
        <v>1500.0</v>
      </c>
      <c r="J36" s="6">
        <f>IF(APPRENANTS!Y36="Oui",IF(H36&gt;0,825,750),0)</f>
        <v>750</v>
      </c>
      <c r="K36" s="11" t="s">
        <v>68</v>
      </c>
      <c r="L36" s="6" t="str">
        <f>IF(APPRENANTS!Y36="Non","Inscription non confirmee",IF(K36="Oui","Payee",IF(F36="","",IF(TODAY()&gt;=F36,"En retard - a verser","A venir"))))</f>
        <v>A venir</v>
      </c>
      <c r="M36" s="6" t="str">
        <f t="shared" si="3"/>
        <v>juillet 2026</v>
      </c>
      <c r="N36" s="6" t="str">
        <f>APPRENANTS!Y36</f>
        <v>Oui</v>
      </c>
      <c r="O36" s="6">
        <f t="shared" ref="O36:P36" si="37">IF($N36="Oui",I36,0)</f>
        <v>1500</v>
      </c>
      <c r="P36" s="6">
        <f t="shared" si="37"/>
        <v>750</v>
      </c>
    </row>
    <row r="37" ht="15.0" customHeight="1">
      <c r="A37" s="6" t="str">
        <f>APPRENANTS!A37</f>
        <v>Proforma Institut</v>
      </c>
      <c r="B37" s="6" t="str">
        <f>APPRENANTS!B37</f>
        <v>POGGI Eric</v>
      </c>
      <c r="C37" s="6" t="str">
        <f>APPRENANTS!D37</f>
        <v>Communiquer sur les réseaux sociaux pour promouvoir sa TPE</v>
      </c>
      <c r="D37" s="6" t="str">
        <f>APPRENANTS!C37</f>
        <v>Sabri</v>
      </c>
      <c r="E37" s="6" t="str">
        <f>APPRENANTS!F37</f>
        <v>2026-06-27</v>
      </c>
      <c r="F37" s="9">
        <f t="shared" si="2"/>
        <v>46235</v>
      </c>
      <c r="G37" s="6" t="str">
        <f>APPRENANTS!G37</f>
        <v>Accepté</v>
      </c>
      <c r="H37" s="11">
        <v>0.0</v>
      </c>
      <c r="I37" s="11">
        <v>1500.0</v>
      </c>
      <c r="J37" s="6">
        <f>IF(APPRENANTS!Y37="Oui",IF(H37&gt;0,825,750),0)</f>
        <v>750</v>
      </c>
      <c r="K37" s="11" t="s">
        <v>68</v>
      </c>
      <c r="L37" s="6" t="str">
        <f>IF(APPRENANTS!Y37="Non","Inscription non confirmee",IF(K37="Oui","Payee",IF(F37="","",IF(TODAY()&gt;=F37,"En retard - a verser","A venir"))))</f>
        <v>A venir</v>
      </c>
      <c r="M37" s="6" t="str">
        <f t="shared" si="3"/>
        <v>aout 2026</v>
      </c>
      <c r="N37" s="6" t="str">
        <f>APPRENANTS!Y37</f>
        <v>Oui</v>
      </c>
      <c r="O37" s="6">
        <f t="shared" ref="O37:P37" si="38">IF($N37="Oui",I37,0)</f>
        <v>1500</v>
      </c>
      <c r="P37" s="6">
        <f t="shared" si="38"/>
        <v>750</v>
      </c>
    </row>
    <row r="38" ht="15.0" customHeight="1">
      <c r="A38" s="6" t="str">
        <f>APPRENANTS!A38</f>
        <v>Proforma Institut</v>
      </c>
      <c r="B38" s="6" t="str">
        <f>APPRENANTS!B38</f>
        <v>MENDY Jean</v>
      </c>
      <c r="C38" s="6" t="str">
        <f>APPRENANTS!D38</f>
        <v>Développer son activité avec l’intelligence artificielle</v>
      </c>
      <c r="D38" s="6" t="str">
        <f>APPRENANTS!C38</f>
        <v>jean</v>
      </c>
      <c r="E38" s="6" t="str">
        <f>APPRENANTS!F38</f>
        <v>2026-06-20</v>
      </c>
      <c r="F38" s="9">
        <f t="shared" si="2"/>
        <v>46228</v>
      </c>
      <c r="G38" s="6" t="str">
        <f>APPRENANTS!G38</f>
        <v>Accepté</v>
      </c>
      <c r="H38" s="11">
        <v>0.0</v>
      </c>
      <c r="I38" s="11">
        <v>1500.0</v>
      </c>
      <c r="J38" s="6">
        <f>IF(APPRENANTS!Y38="Oui",IF(H38&gt;0,825,750),0)</f>
        <v>750</v>
      </c>
      <c r="K38" s="11" t="s">
        <v>68</v>
      </c>
      <c r="L38" s="6" t="str">
        <f>IF(APPRENANTS!Y38="Non","Inscription non confirmee",IF(K38="Oui","Payee",IF(F38="","",IF(TODAY()&gt;=F38,"En retard - a verser","A venir"))))</f>
        <v>A venir</v>
      </c>
      <c r="M38" s="6" t="str">
        <f t="shared" si="3"/>
        <v>juillet 2026</v>
      </c>
      <c r="N38" s="6" t="str">
        <f>APPRENANTS!Y38</f>
        <v>Oui</v>
      </c>
      <c r="O38" s="6">
        <f t="shared" ref="O38:P38" si="39">IF($N38="Oui",I38,0)</f>
        <v>1500</v>
      </c>
      <c r="P38" s="6">
        <f t="shared" si="39"/>
        <v>750</v>
      </c>
    </row>
    <row r="39" ht="15.0" customHeight="1">
      <c r="A39" s="6" t="str">
        <f>APPRENANTS!A39</f>
        <v>Proforma Institut</v>
      </c>
      <c r="B39" s="6" t="str">
        <f>APPRENANTS!B39</f>
        <v>BOUASRIA Najwa</v>
      </c>
      <c r="C39" s="6" t="str">
        <f>APPRENANTS!D39</f>
        <v>Développer son activité avec l’intelligence artificielle</v>
      </c>
      <c r="D39" s="6" t="str">
        <f>APPRENANTS!C39</f>
        <v>frere karim</v>
      </c>
      <c r="E39" s="6" t="str">
        <f>APPRENANTS!F39</f>
        <v>2026-06-20</v>
      </c>
      <c r="F39" s="9">
        <f t="shared" si="2"/>
        <v>46228</v>
      </c>
      <c r="G39" s="6" t="str">
        <f>APPRENANTS!G39</f>
        <v>Accepté</v>
      </c>
      <c r="H39" s="11">
        <v>0.0</v>
      </c>
      <c r="I39" s="11">
        <v>1500.0</v>
      </c>
      <c r="J39" s="6">
        <f>IF(APPRENANTS!Y39="Oui",IF(H39&gt;0,825,750),0)</f>
        <v>750</v>
      </c>
      <c r="K39" s="11" t="s">
        <v>68</v>
      </c>
      <c r="L39" s="6" t="str">
        <f>IF(APPRENANTS!Y39="Non","Inscription non confirmee",IF(K39="Oui","Payee",IF(F39="","",IF(TODAY()&gt;=F39,"En retard - a verser","A venir"))))</f>
        <v>A venir</v>
      </c>
      <c r="M39" s="6" t="str">
        <f t="shared" si="3"/>
        <v>juillet 2026</v>
      </c>
      <c r="N39" s="6" t="str">
        <f>APPRENANTS!Y39</f>
        <v>Oui</v>
      </c>
      <c r="O39" s="6">
        <f t="shared" ref="O39:P39" si="40">IF($N39="Oui",I39,0)</f>
        <v>1500</v>
      </c>
      <c r="P39" s="6">
        <f t="shared" si="40"/>
        <v>750</v>
      </c>
    </row>
    <row r="40" ht="15.0" customHeight="1">
      <c r="A40" s="6" t="str">
        <f>APPRENANTS!A40</f>
        <v>Proforma Institut</v>
      </c>
      <c r="B40" s="6" t="str">
        <f>APPRENANTS!B40</f>
        <v>JAVAZZO Jerome</v>
      </c>
      <c r="C40" s="6" t="str">
        <f>APPRENANTS!D40</f>
        <v>Améliorer l'efficacité de sa TPE à l'aide de l'IA</v>
      </c>
      <c r="D40" s="6" t="str">
        <f>APPRENANTS!C40</f>
        <v>hak</v>
      </c>
      <c r="E40" s="6" t="str">
        <f>APPRENANTS!F40</f>
        <v>2026-07-04</v>
      </c>
      <c r="F40" s="9">
        <f t="shared" si="2"/>
        <v>46242</v>
      </c>
      <c r="G40" s="6" t="str">
        <f>APPRENANTS!G40</f>
        <v>Accepté</v>
      </c>
      <c r="H40" s="11">
        <v>0.0</v>
      </c>
      <c r="I40" s="11">
        <v>1500.0</v>
      </c>
      <c r="J40" s="6">
        <f>IF(APPRENANTS!Y40="Oui",IF(H40&gt;0,825,750),0)</f>
        <v>750</v>
      </c>
      <c r="K40" s="11" t="s">
        <v>68</v>
      </c>
      <c r="L40" s="6" t="str">
        <f>IF(APPRENANTS!Y40="Non","Inscription non confirmee",IF(K40="Oui","Payee",IF(F40="","",IF(TODAY()&gt;=F40,"En retard - a verser","A venir"))))</f>
        <v>A venir</v>
      </c>
      <c r="M40" s="6" t="str">
        <f t="shared" si="3"/>
        <v>aout 2026</v>
      </c>
      <c r="N40" s="6" t="str">
        <f>APPRENANTS!Y40</f>
        <v>Oui</v>
      </c>
      <c r="O40" s="6">
        <f t="shared" ref="O40:P40" si="41">IF($N40="Oui",I40,0)</f>
        <v>1500</v>
      </c>
      <c r="P40" s="6">
        <f t="shared" si="41"/>
        <v>750</v>
      </c>
    </row>
    <row r="41" ht="15.0" customHeight="1">
      <c r="A41" s="6" t="str">
        <f>APPRENANTS!A41</f>
        <v>Proforma Institut</v>
      </c>
      <c r="B41" s="6" t="str">
        <f>APPRENANTS!B41</f>
        <v>JAVAZZO Jerome</v>
      </c>
      <c r="C41" s="6" t="str">
        <f>APPRENANTS!D41</f>
        <v>Communiquer sur les réseaux sociaux pour promouvoir sa TPE</v>
      </c>
      <c r="D41" s="6" t="str">
        <f>APPRENANTS!C41</f>
        <v>hak</v>
      </c>
      <c r="E41" s="6" t="str">
        <f>APPRENANTS!F41</f>
        <v>2026-06-27</v>
      </c>
      <c r="F41" s="9">
        <f t="shared" si="2"/>
        <v>46235</v>
      </c>
      <c r="G41" s="6" t="str">
        <f>APPRENANTS!G41</f>
        <v>Accepté</v>
      </c>
      <c r="H41" s="11">
        <v>0.0</v>
      </c>
      <c r="I41" s="11">
        <v>1500.0</v>
      </c>
      <c r="J41" s="6">
        <f>IF(APPRENANTS!Y41="Oui",IF(H41&gt;0,825,750),0)</f>
        <v>750</v>
      </c>
      <c r="K41" s="11" t="s">
        <v>68</v>
      </c>
      <c r="L41" s="6" t="str">
        <f>IF(APPRENANTS!Y41="Non","Inscription non confirmee",IF(K41="Oui","Payee",IF(F41="","",IF(TODAY()&gt;=F41,"En retard - a verser","A venir"))))</f>
        <v>A venir</v>
      </c>
      <c r="M41" s="6" t="str">
        <f t="shared" si="3"/>
        <v>aout 2026</v>
      </c>
      <c r="N41" s="6" t="str">
        <f>APPRENANTS!Y41</f>
        <v>Oui</v>
      </c>
      <c r="O41" s="6">
        <f t="shared" ref="O41:P41" si="42">IF($N41="Oui",I41,0)</f>
        <v>1500</v>
      </c>
      <c r="P41" s="6">
        <f t="shared" si="42"/>
        <v>750</v>
      </c>
    </row>
    <row r="42" ht="15.0" customHeight="1">
      <c r="A42" s="6" t="str">
        <f>APPRENANTS!A42</f>
        <v>Proforma Institut</v>
      </c>
      <c r="B42" s="6" t="str">
        <f>APPRENANTS!B42</f>
        <v>KECHIOUCHE Younes</v>
      </c>
      <c r="C42" s="6" t="str">
        <f>APPRENANTS!D42</f>
        <v>Développer son activité avec l’intelligence artificielle</v>
      </c>
      <c r="D42" s="6" t="str">
        <f>APPRENANTS!C42</f>
        <v>hak</v>
      </c>
      <c r="E42" s="6" t="str">
        <f>APPRENANTS!F42</f>
        <v>2026-06-27</v>
      </c>
      <c r="F42" s="9">
        <f t="shared" si="2"/>
        <v>46235</v>
      </c>
      <c r="G42" s="6" t="str">
        <f>APPRENANTS!G42</f>
        <v>Accepté</v>
      </c>
      <c r="H42" s="11">
        <v>0.0</v>
      </c>
      <c r="I42" s="11">
        <v>1500.0</v>
      </c>
      <c r="J42" s="6">
        <f>IF(APPRENANTS!Y42="Oui",IF(H42&gt;0,825,750),0)</f>
        <v>750</v>
      </c>
      <c r="K42" s="11" t="s">
        <v>68</v>
      </c>
      <c r="L42" s="6" t="str">
        <f>IF(APPRENANTS!Y42="Non","Inscription non confirmee",IF(K42="Oui","Payee",IF(F42="","",IF(TODAY()&gt;=F42,"En retard - a verser","A venir"))))</f>
        <v>A venir</v>
      </c>
      <c r="M42" s="6" t="str">
        <f t="shared" si="3"/>
        <v>aout 2026</v>
      </c>
      <c r="N42" s="6" t="str">
        <f>APPRENANTS!Y42</f>
        <v>Oui</v>
      </c>
      <c r="O42" s="6">
        <f t="shared" ref="O42:P42" si="43">IF($N42="Oui",I42,0)</f>
        <v>1500</v>
      </c>
      <c r="P42" s="6">
        <f t="shared" si="43"/>
        <v>750</v>
      </c>
    </row>
    <row r="43" ht="15.0" customHeight="1">
      <c r="A43" s="6" t="str">
        <f>APPRENANTS!A43</f>
        <v>Proforma Institut</v>
      </c>
      <c r="B43" s="6" t="str">
        <f>APPRENANTS!B43</f>
        <v>LAHRAOUI Amir</v>
      </c>
      <c r="C43" s="6" t="str">
        <f>APPRENANTS!D43</f>
        <v>Améliorer l'efficacité de sa TPE à l'aide de l'IA</v>
      </c>
      <c r="D43" s="6" t="str">
        <f>APPRENANTS!C43</f>
        <v>GRAS</v>
      </c>
      <c r="E43" s="6" t="str">
        <f>APPRENANTS!F43</f>
        <v>2026-07-04</v>
      </c>
      <c r="F43" s="9">
        <f t="shared" si="2"/>
        <v>46242</v>
      </c>
      <c r="G43" s="6" t="str">
        <f>APPRENANTS!G43</f>
        <v>Accepté</v>
      </c>
      <c r="H43" s="11">
        <v>0.0</v>
      </c>
      <c r="I43" s="11">
        <v>1500.0</v>
      </c>
      <c r="J43" s="6">
        <f>IF(APPRENANTS!Y43="Oui",IF(H43&gt;0,825,750),0)</f>
        <v>750</v>
      </c>
      <c r="K43" s="11" t="s">
        <v>68</v>
      </c>
      <c r="L43" s="6" t="str">
        <f>IF(APPRENANTS!Y43="Non","Inscription non confirmee",IF(K43="Oui","Payee",IF(F43="","",IF(TODAY()&gt;=F43,"En retard - a verser","A venir"))))</f>
        <v>A venir</v>
      </c>
      <c r="M43" s="6" t="str">
        <f t="shared" si="3"/>
        <v>aout 2026</v>
      </c>
      <c r="N43" s="6" t="str">
        <f>APPRENANTS!Y43</f>
        <v>Oui</v>
      </c>
      <c r="O43" s="6">
        <f t="shared" ref="O43:P43" si="44">IF($N43="Oui",I43,0)</f>
        <v>1500</v>
      </c>
      <c r="P43" s="6">
        <f t="shared" si="44"/>
        <v>750</v>
      </c>
    </row>
    <row r="44" ht="15.0" customHeight="1">
      <c r="A44" s="6" t="str">
        <f>APPRENANTS!A44</f>
        <v>Proforma Institut</v>
      </c>
      <c r="B44" s="6" t="str">
        <f>APPRENANTS!B44</f>
        <v>LAHRAOUI Amir</v>
      </c>
      <c r="C44" s="6" t="str">
        <f>APPRENANTS!D44</f>
        <v>Communiquer sur les réseaux sociaux pour promouvoir sa TPE</v>
      </c>
      <c r="D44" s="6" t="str">
        <f>APPRENANTS!C44</f>
        <v>GRAS</v>
      </c>
      <c r="E44" s="6" t="str">
        <f>APPRENANTS!F44</f>
        <v>2026-07-11</v>
      </c>
      <c r="F44" s="9">
        <f t="shared" si="2"/>
        <v>46249</v>
      </c>
      <c r="G44" s="6" t="str">
        <f>APPRENANTS!G44</f>
        <v>Accepté</v>
      </c>
      <c r="H44" s="11">
        <v>0.0</v>
      </c>
      <c r="I44" s="11">
        <v>1500.0</v>
      </c>
      <c r="J44" s="6">
        <f>IF(APPRENANTS!Y44="Oui",IF(H44&gt;0,825,750),0)</f>
        <v>750</v>
      </c>
      <c r="K44" s="11" t="s">
        <v>68</v>
      </c>
      <c r="L44" s="6" t="str">
        <f>IF(APPRENANTS!Y44="Non","Inscription non confirmee",IF(K44="Oui","Payee",IF(F44="","",IF(TODAY()&gt;=F44,"En retard - a verser","A venir"))))</f>
        <v>A venir</v>
      </c>
      <c r="M44" s="6" t="str">
        <f t="shared" si="3"/>
        <v>aout 2026</v>
      </c>
      <c r="N44" s="6" t="str">
        <f>APPRENANTS!Y44</f>
        <v>Oui</v>
      </c>
      <c r="O44" s="6">
        <f t="shared" ref="O44:P44" si="45">IF($N44="Oui",I44,0)</f>
        <v>1500</v>
      </c>
      <c r="P44" s="6">
        <f t="shared" si="45"/>
        <v>750</v>
      </c>
    </row>
    <row r="45" ht="15.0" customHeight="1">
      <c r="A45" s="6" t="str">
        <f>APPRENANTS!A45</f>
        <v>Proforma Institut</v>
      </c>
      <c r="B45" s="6" t="str">
        <f>APPRENANTS!B45</f>
        <v>LAHRAOUI Amir</v>
      </c>
      <c r="C45" s="6" t="str">
        <f>APPRENANTS!D45</f>
        <v>Réaliser les opérations comptables courantes d'une TPE</v>
      </c>
      <c r="D45" s="6" t="str">
        <f>APPRENANTS!C45</f>
        <v>GRAS</v>
      </c>
      <c r="E45" s="6" t="str">
        <f>APPRENANTS!F45</f>
        <v>2026-07-18</v>
      </c>
      <c r="F45" s="9">
        <f t="shared" si="2"/>
        <v>46256</v>
      </c>
      <c r="G45" s="6" t="str">
        <f>APPRENANTS!G45</f>
        <v>Accepté</v>
      </c>
      <c r="H45" s="11">
        <v>0.0</v>
      </c>
      <c r="I45" s="11">
        <v>1500.0</v>
      </c>
      <c r="J45" s="6">
        <f>IF(APPRENANTS!Y45="Oui",IF(H45&gt;0,825,750),0)</f>
        <v>750</v>
      </c>
      <c r="K45" s="11" t="s">
        <v>68</v>
      </c>
      <c r="L45" s="6" t="str">
        <f>IF(APPRENANTS!Y45="Non","Inscription non confirmee",IF(K45="Oui","Payee",IF(F45="","",IF(TODAY()&gt;=F45,"En retard - a verser","A venir"))))</f>
        <v>A venir</v>
      </c>
      <c r="M45" s="6" t="str">
        <f t="shared" si="3"/>
        <v>aout 2026</v>
      </c>
      <c r="N45" s="6" t="str">
        <f>APPRENANTS!Y45</f>
        <v>Oui</v>
      </c>
      <c r="O45" s="6">
        <f t="shared" ref="O45:P45" si="46">IF($N45="Oui",I45,0)</f>
        <v>1500</v>
      </c>
      <c r="P45" s="6">
        <f t="shared" si="46"/>
        <v>750</v>
      </c>
    </row>
    <row r="46" ht="15.0" customHeight="1">
      <c r="A46" s="6" t="str">
        <f>APPRENANTS!A46</f>
        <v>Proforma Institut</v>
      </c>
      <c r="B46" s="6" t="str">
        <f>APPRENANTS!B46</f>
        <v>blot valerie</v>
      </c>
      <c r="C46" s="6" t="str">
        <f>APPRENANTS!D46</f>
        <v>Réaliser les opérations comptables courantes d'une TPE</v>
      </c>
      <c r="D46" s="6" t="str">
        <f>APPRENANTS!C46</f>
        <v>Djody</v>
      </c>
      <c r="E46" s="6" t="str">
        <f>APPRENANTS!F46</f>
        <v>2026-07-24</v>
      </c>
      <c r="F46" s="9">
        <f t="shared" si="2"/>
        <v>46262</v>
      </c>
      <c r="G46" s="6" t="str">
        <f>APPRENANTS!G46</f>
        <v>Accepté</v>
      </c>
      <c r="H46" s="11">
        <v>0.0</v>
      </c>
      <c r="I46" s="11">
        <v>1500.0</v>
      </c>
      <c r="J46" s="6">
        <f>IF(APPRENANTS!Y46="Oui",IF(H46&gt;0,825,750),0)</f>
        <v>750</v>
      </c>
      <c r="K46" s="11" t="s">
        <v>68</v>
      </c>
      <c r="L46" s="6" t="str">
        <f>IF(APPRENANTS!Y46="Non","Inscription non confirmee",IF(K46="Oui","Payee",IF(F46="","",IF(TODAY()&gt;=F46,"En retard - a verser","A venir"))))</f>
        <v>A venir</v>
      </c>
      <c r="M46" s="6" t="str">
        <f t="shared" si="3"/>
        <v>aout 2026</v>
      </c>
      <c r="N46" s="6" t="str">
        <f>APPRENANTS!Y46</f>
        <v>Oui</v>
      </c>
      <c r="O46" s="6">
        <f t="shared" ref="O46:P46" si="47">IF($N46="Oui",I46,0)</f>
        <v>1500</v>
      </c>
      <c r="P46" s="6">
        <f t="shared" si="47"/>
        <v>750</v>
      </c>
    </row>
    <row r="47" ht="15.0" customHeight="1">
      <c r="A47" s="6" t="str">
        <f>APPRENANTS!A47</f>
        <v>Proforma Institut</v>
      </c>
      <c r="B47" s="6" t="str">
        <f>APPRENANTS!B47</f>
        <v>CARRETTA Capucine</v>
      </c>
      <c r="C47" s="6" t="str">
        <f>APPRENANTS!D47</f>
        <v>Développer son activité avec l’intelligence artificielle</v>
      </c>
      <c r="D47" s="6" t="str">
        <f>APPRENANTS!C47</f>
        <v>jules</v>
      </c>
      <c r="E47" s="6" t="str">
        <f>APPRENANTS!F47</f>
        <v>2026-07-04</v>
      </c>
      <c r="F47" s="9">
        <f t="shared" si="2"/>
        <v>46242</v>
      </c>
      <c r="G47" s="6" t="str">
        <f>APPRENANTS!G47</f>
        <v>Accepté</v>
      </c>
      <c r="H47" s="11">
        <v>0.0</v>
      </c>
      <c r="I47" s="11">
        <v>1500.0</v>
      </c>
      <c r="J47" s="6">
        <f>IF(APPRENANTS!Y47="Oui",IF(H47&gt;0,825,750),0)</f>
        <v>750</v>
      </c>
      <c r="K47" s="11" t="s">
        <v>68</v>
      </c>
      <c r="L47" s="6" t="str">
        <f>IF(APPRENANTS!Y47="Non","Inscription non confirmee",IF(K47="Oui","Payee",IF(F47="","",IF(TODAY()&gt;=F47,"En retard - a verser","A venir"))))</f>
        <v>A venir</v>
      </c>
      <c r="M47" s="6" t="str">
        <f t="shared" si="3"/>
        <v>aout 2026</v>
      </c>
      <c r="N47" s="6" t="str">
        <f>APPRENANTS!Y47</f>
        <v>Oui</v>
      </c>
      <c r="O47" s="6">
        <f t="shared" ref="O47:P47" si="48">IF($N47="Oui",I47,0)</f>
        <v>1500</v>
      </c>
      <c r="P47" s="6">
        <f t="shared" si="48"/>
        <v>750</v>
      </c>
    </row>
    <row r="48" ht="15.0" customHeight="1">
      <c r="A48" s="6" t="str">
        <f>APPRENANTS!A48</f>
        <v>Proforma Institut</v>
      </c>
      <c r="B48" s="6" t="str">
        <f>APPRENANTS!B48</f>
        <v>OUAHAB Yanis</v>
      </c>
      <c r="C48" s="6" t="str">
        <f>APPRENANTS!D48</f>
        <v>Améliorer l'efficacité de sa TPE à l'aide de l'IA</v>
      </c>
      <c r="D48" s="6" t="str">
        <f>APPRENANTS!C48</f>
        <v>priscot</v>
      </c>
      <c r="E48" s="6" t="str">
        <f>APPRENANTS!F48</f>
        <v>2026-07-04</v>
      </c>
      <c r="F48" s="9">
        <f t="shared" si="2"/>
        <v>46242</v>
      </c>
      <c r="G48" s="6" t="str">
        <f>APPRENANTS!G48</f>
        <v>Accepté</v>
      </c>
      <c r="H48" s="11">
        <v>0.0</v>
      </c>
      <c r="I48" s="11">
        <v>1500.0</v>
      </c>
      <c r="J48" s="6">
        <f>IF(APPRENANTS!Y48="Oui",IF(H48&gt;0,825,750),0)</f>
        <v>750</v>
      </c>
      <c r="K48" s="11" t="s">
        <v>68</v>
      </c>
      <c r="L48" s="6" t="str">
        <f>IF(APPRENANTS!Y48="Non","Inscription non confirmee",IF(K48="Oui","Payee",IF(F48="","",IF(TODAY()&gt;=F48,"En retard - a verser","A venir"))))</f>
        <v>A venir</v>
      </c>
      <c r="M48" s="6" t="str">
        <f t="shared" si="3"/>
        <v>aout 2026</v>
      </c>
      <c r="N48" s="6" t="str">
        <f>APPRENANTS!Y48</f>
        <v>Oui</v>
      </c>
      <c r="O48" s="6">
        <f t="shared" ref="O48:P48" si="49">IF($N48="Oui",I48,0)</f>
        <v>1500</v>
      </c>
      <c r="P48" s="6">
        <f t="shared" si="49"/>
        <v>750</v>
      </c>
    </row>
    <row r="49" ht="15.0" customHeight="1">
      <c r="A49" s="6" t="str">
        <f>APPRENANTS!A49</f>
        <v>Proforma Institut</v>
      </c>
      <c r="B49" s="6" t="str">
        <f>APPRENANTS!B49</f>
        <v>OUAHAB Yanis</v>
      </c>
      <c r="C49" s="6" t="str">
        <f>APPRENANTS!D49</f>
        <v>Communiquer sur les réseaux sociaux pour promouvoir sa TPE</v>
      </c>
      <c r="D49" s="6" t="str">
        <f>APPRENANTS!C49</f>
        <v>priscot</v>
      </c>
      <c r="E49" s="6" t="str">
        <f>APPRENANTS!F49</f>
        <v>2026-07-11</v>
      </c>
      <c r="F49" s="9">
        <f t="shared" si="2"/>
        <v>46249</v>
      </c>
      <c r="G49" s="6" t="str">
        <f>APPRENANTS!G49</f>
        <v>Accepté</v>
      </c>
      <c r="H49" s="11">
        <v>0.0</v>
      </c>
      <c r="I49" s="11">
        <v>1500.0</v>
      </c>
      <c r="J49" s="6">
        <f>IF(APPRENANTS!Y49="Oui",IF(H49&gt;0,825,750),0)</f>
        <v>750</v>
      </c>
      <c r="K49" s="11" t="s">
        <v>68</v>
      </c>
      <c r="L49" s="6" t="str">
        <f>IF(APPRENANTS!Y49="Non","Inscription non confirmee",IF(K49="Oui","Payee",IF(F49="","",IF(TODAY()&gt;=F49,"En retard - a verser","A venir"))))</f>
        <v>A venir</v>
      </c>
      <c r="M49" s="6" t="str">
        <f t="shared" si="3"/>
        <v>aout 2026</v>
      </c>
      <c r="N49" s="6" t="str">
        <f>APPRENANTS!Y49</f>
        <v>Oui</v>
      </c>
      <c r="O49" s="6">
        <f t="shared" ref="O49:P49" si="50">IF($N49="Oui",I49,0)</f>
        <v>1500</v>
      </c>
      <c r="P49" s="6">
        <f t="shared" si="50"/>
        <v>750</v>
      </c>
    </row>
    <row r="50" ht="15.0" customHeight="1">
      <c r="A50" s="6" t="str">
        <f>APPRENANTS!A50</f>
        <v>Proforma Institut</v>
      </c>
      <c r="B50" s="6" t="str">
        <f>APPRENANTS!B50</f>
        <v>DJIBILIAN Yoann</v>
      </c>
      <c r="C50" s="6" t="str">
        <f>APPRENANTS!D50</f>
        <v>Améliorer l'efficacité de sa TPE à l'aide de l'IA</v>
      </c>
      <c r="D50" s="6" t="str">
        <f>APPRENANTS!C50</f>
        <v>Nedjma</v>
      </c>
      <c r="E50" s="6" t="str">
        <f>APPRENANTS!F50</f>
        <v>2026-07-04</v>
      </c>
      <c r="F50" s="9">
        <f t="shared" si="2"/>
        <v>46242</v>
      </c>
      <c r="G50" s="6" t="str">
        <f>APPRENANTS!G50</f>
        <v>Accepté</v>
      </c>
      <c r="H50" s="11">
        <v>0.0</v>
      </c>
      <c r="I50" s="11">
        <v>1500.0</v>
      </c>
      <c r="J50" s="6">
        <f>IF(APPRENANTS!Y50="Oui",IF(H50&gt;0,825,750),0)</f>
        <v>750</v>
      </c>
      <c r="K50" s="11" t="s">
        <v>68</v>
      </c>
      <c r="L50" s="6" t="str">
        <f>IF(APPRENANTS!Y50="Non","Inscription non confirmee",IF(K50="Oui","Payee",IF(F50="","",IF(TODAY()&gt;=F50,"En retard - a verser","A venir"))))</f>
        <v>A venir</v>
      </c>
      <c r="M50" s="6" t="str">
        <f t="shared" si="3"/>
        <v>aout 2026</v>
      </c>
      <c r="N50" s="6" t="str">
        <f>APPRENANTS!Y50</f>
        <v>Oui</v>
      </c>
      <c r="O50" s="6">
        <f t="shared" ref="O50:P50" si="51">IF($N50="Oui",I50,0)</f>
        <v>1500</v>
      </c>
      <c r="P50" s="6">
        <f t="shared" si="51"/>
        <v>750</v>
      </c>
    </row>
    <row r="51" ht="15.0" customHeight="1">
      <c r="A51" s="6" t="str">
        <f>APPRENANTS!A51</f>
        <v>Proforma Institut</v>
      </c>
      <c r="B51" s="6" t="str">
        <f>APPRENANTS!B51</f>
        <v>DJIBILIAN Yoann</v>
      </c>
      <c r="C51" s="6" t="str">
        <f>APPRENANTS!D51</f>
        <v>Communiquer sur les réseaux sociaux pour promouvoir sa TPE</v>
      </c>
      <c r="D51" s="6" t="str">
        <f>APPRENANTS!C51</f>
        <v>Nedjma</v>
      </c>
      <c r="E51" s="6" t="str">
        <f>APPRENANTS!F51</f>
        <v>2026-07-11</v>
      </c>
      <c r="F51" s="9">
        <f t="shared" si="2"/>
        <v>46249</v>
      </c>
      <c r="G51" s="6" t="str">
        <f>APPRENANTS!G51</f>
        <v>Accepté</v>
      </c>
      <c r="H51" s="11">
        <v>0.0</v>
      </c>
      <c r="I51" s="11">
        <v>1500.0</v>
      </c>
      <c r="J51" s="6">
        <f>IF(APPRENANTS!Y51="Oui",IF(H51&gt;0,825,750),0)</f>
        <v>750</v>
      </c>
      <c r="K51" s="11" t="s">
        <v>68</v>
      </c>
      <c r="L51" s="6" t="str">
        <f>IF(APPRENANTS!Y51="Non","Inscription non confirmee",IF(K51="Oui","Payee",IF(F51="","",IF(TODAY()&gt;=F51,"En retard - a verser","A venir"))))</f>
        <v>A venir</v>
      </c>
      <c r="M51" s="6" t="str">
        <f t="shared" si="3"/>
        <v>aout 2026</v>
      </c>
      <c r="N51" s="6" t="str">
        <f>APPRENANTS!Y51</f>
        <v>Oui</v>
      </c>
      <c r="O51" s="6">
        <f t="shared" ref="O51:P51" si="52">IF($N51="Oui",I51,0)</f>
        <v>1500</v>
      </c>
      <c r="P51" s="6">
        <f t="shared" si="52"/>
        <v>750</v>
      </c>
    </row>
    <row r="52" ht="15.0" customHeight="1">
      <c r="A52" s="6" t="str">
        <f>APPRENANTS!A52</f>
        <v>Proforma Institut</v>
      </c>
      <c r="B52" s="6" t="str">
        <f>APPRENANTS!B52</f>
        <v>FRANGIAN Vazguen</v>
      </c>
      <c r="C52" s="6" t="str">
        <f>APPRENANTS!D52</f>
        <v>Améliorer l'efficacité de sa TPE à l'aide de l'IA</v>
      </c>
      <c r="D52" s="6" t="str">
        <f>APPRENANTS!C52</f>
        <v>GRAS</v>
      </c>
      <c r="E52" s="6" t="str">
        <f>APPRENANTS!F52</f>
        <v>2026-07-18</v>
      </c>
      <c r="F52" s="9">
        <f t="shared" si="2"/>
        <v>46256</v>
      </c>
      <c r="G52" s="6" t="str">
        <f>APPRENANTS!G52</f>
        <v>Accepté</v>
      </c>
      <c r="H52" s="11">
        <v>0.0</v>
      </c>
      <c r="I52" s="11">
        <v>1500.0</v>
      </c>
      <c r="J52" s="6">
        <f>IF(APPRENANTS!Y52="Oui",IF(H52&gt;0,825,750),0)</f>
        <v>750</v>
      </c>
      <c r="K52" s="11" t="s">
        <v>68</v>
      </c>
      <c r="L52" s="6" t="str">
        <f>IF(APPRENANTS!Y52="Non","Inscription non confirmee",IF(K52="Oui","Payee",IF(F52="","",IF(TODAY()&gt;=F52,"En retard - a verser","A venir"))))</f>
        <v>A venir</v>
      </c>
      <c r="M52" s="6" t="str">
        <f t="shared" si="3"/>
        <v>aout 2026</v>
      </c>
      <c r="N52" s="6" t="str">
        <f>APPRENANTS!Y52</f>
        <v>Oui</v>
      </c>
      <c r="O52" s="6">
        <f t="shared" ref="O52:P52" si="53">IF($N52="Oui",I52,0)</f>
        <v>1500</v>
      </c>
      <c r="P52" s="6">
        <f t="shared" si="53"/>
        <v>750</v>
      </c>
    </row>
    <row r="53" ht="15.0" customHeight="1">
      <c r="A53" s="6" t="str">
        <f>APPRENANTS!A53</f>
        <v>Proforma Institut</v>
      </c>
      <c r="B53" s="6" t="str">
        <f>APPRENANTS!B53</f>
        <v>FRANGIAN Vazguen</v>
      </c>
      <c r="C53" s="6" t="str">
        <f>APPRENANTS!D53</f>
        <v>Communiquer sur les réseaux sociaux pour promouvoir sa TPE</v>
      </c>
      <c r="D53" s="6" t="str">
        <f>APPRENANTS!C53</f>
        <v>GRAS</v>
      </c>
      <c r="E53" s="6" t="str">
        <f>APPRENANTS!F53</f>
        <v>2026-07-25</v>
      </c>
      <c r="F53" s="9">
        <f t="shared" si="2"/>
        <v>46263</v>
      </c>
      <c r="G53" s="6" t="str">
        <f>APPRENANTS!G53</f>
        <v>Accepté</v>
      </c>
      <c r="H53" s="11">
        <v>0.0</v>
      </c>
      <c r="I53" s="11">
        <v>1500.0</v>
      </c>
      <c r="J53" s="6">
        <f>IF(APPRENANTS!Y53="Oui",IF(H53&gt;0,825,750),0)</f>
        <v>750</v>
      </c>
      <c r="K53" s="11" t="s">
        <v>68</v>
      </c>
      <c r="L53" s="6" t="str">
        <f>IF(APPRENANTS!Y53="Non","Inscription non confirmee",IF(K53="Oui","Payee",IF(F53="","",IF(TODAY()&gt;=F53,"En retard - a verser","A venir"))))</f>
        <v>A venir</v>
      </c>
      <c r="M53" s="6" t="str">
        <f t="shared" si="3"/>
        <v>aout 2026</v>
      </c>
      <c r="N53" s="6" t="str">
        <f>APPRENANTS!Y53</f>
        <v>Oui</v>
      </c>
      <c r="O53" s="6">
        <f t="shared" ref="O53:P53" si="54">IF($N53="Oui",I53,0)</f>
        <v>1500</v>
      </c>
      <c r="P53" s="6">
        <f t="shared" si="54"/>
        <v>750</v>
      </c>
    </row>
    <row r="54" ht="15.0" customHeight="1">
      <c r="A54" s="6" t="str">
        <f>APPRENANTS!A54</f>
        <v>Proforma Institut</v>
      </c>
      <c r="B54" s="6" t="str">
        <f>APPRENANTS!B54</f>
        <v>FRANGIAN Vazguen</v>
      </c>
      <c r="C54" s="6" t="str">
        <f>APPRENANTS!D54</f>
        <v>Réaliser les opérations comptables courantes d'une TPE</v>
      </c>
      <c r="D54" s="6" t="str">
        <f>APPRENANTS!C54</f>
        <v>GRAS</v>
      </c>
      <c r="E54" s="6" t="str">
        <f>APPRENANTS!F54</f>
        <v>2026-08-01</v>
      </c>
      <c r="F54" s="9">
        <f t="shared" si="2"/>
        <v>46270</v>
      </c>
      <c r="G54" s="6" t="str">
        <f>APPRENANTS!G54</f>
        <v>Accepté</v>
      </c>
      <c r="H54" s="11">
        <v>0.0</v>
      </c>
      <c r="I54" s="11">
        <v>1500.0</v>
      </c>
      <c r="J54" s="6">
        <f>IF(APPRENANTS!Y54="Oui",IF(H54&gt;0,825,750),0)</f>
        <v>750</v>
      </c>
      <c r="K54" s="11" t="s">
        <v>68</v>
      </c>
      <c r="L54" s="6" t="str">
        <f>IF(APPRENANTS!Y54="Non","Inscription non confirmee",IF(K54="Oui","Payee",IF(F54="","",IF(TODAY()&gt;=F54,"En retard - a verser","A venir"))))</f>
        <v>A venir</v>
      </c>
      <c r="M54" s="6" t="str">
        <f t="shared" si="3"/>
        <v>septembre 2026</v>
      </c>
      <c r="N54" s="6" t="str">
        <f>APPRENANTS!Y54</f>
        <v>Oui</v>
      </c>
      <c r="O54" s="6">
        <f t="shared" ref="O54:P54" si="55">IF($N54="Oui",I54,0)</f>
        <v>1500</v>
      </c>
      <c r="P54" s="6">
        <f t="shared" si="55"/>
        <v>750</v>
      </c>
    </row>
    <row r="55" ht="15.0" customHeight="1">
      <c r="A55" s="6" t="str">
        <f>APPRENANTS!A55</f>
        <v>Proforma Institut</v>
      </c>
      <c r="B55" s="6" t="str">
        <f>APPRENANTS!B55</f>
        <v>MELIKSETIAN Suren</v>
      </c>
      <c r="C55" s="6" t="str">
        <f>APPRENANTS!D55</f>
        <v>Développer son activité avec l’intelligence artificielle</v>
      </c>
      <c r="D55" s="6" t="str">
        <f>APPRENANTS!C55</f>
        <v>Sabri</v>
      </c>
      <c r="E55" s="6" t="str">
        <f>APPRENANTS!F55</f>
        <v>2026-07-11</v>
      </c>
      <c r="F55" s="9">
        <f t="shared" si="2"/>
        <v>46249</v>
      </c>
      <c r="G55" s="6" t="str">
        <f>APPRENANTS!G55</f>
        <v>Accepté</v>
      </c>
      <c r="H55" s="11">
        <v>0.0</v>
      </c>
      <c r="I55" s="11">
        <v>1500.0</v>
      </c>
      <c r="J55" s="6">
        <f>IF(APPRENANTS!Y55="Oui",IF(H55&gt;0,825,750),0)</f>
        <v>750</v>
      </c>
      <c r="K55" s="11" t="s">
        <v>68</v>
      </c>
      <c r="L55" s="6" t="str">
        <f>IF(APPRENANTS!Y55="Non","Inscription non confirmee",IF(K55="Oui","Payee",IF(F55="","",IF(TODAY()&gt;=F55,"En retard - a verser","A venir"))))</f>
        <v>A venir</v>
      </c>
      <c r="M55" s="6" t="str">
        <f t="shared" si="3"/>
        <v>aout 2026</v>
      </c>
      <c r="N55" s="6" t="str">
        <f>APPRENANTS!Y55</f>
        <v>Oui</v>
      </c>
      <c r="O55" s="6">
        <f t="shared" ref="O55:P55" si="56">IF($N55="Oui",I55,0)</f>
        <v>1500</v>
      </c>
      <c r="P55" s="6">
        <f t="shared" si="56"/>
        <v>750</v>
      </c>
    </row>
    <row r="56" ht="15.0" customHeight="1">
      <c r="A56" s="6" t="str">
        <f>APPRENANTS!A56</f>
        <v>Proforma Institut</v>
      </c>
      <c r="B56" s="6" t="str">
        <f>APPRENANTS!B56</f>
        <v>ATAYAN Julieta</v>
      </c>
      <c r="C56" s="6" t="str">
        <f>APPRENANTS!D56</f>
        <v>Développer son activité avec l’intelligence artificielle</v>
      </c>
      <c r="D56" s="6" t="str">
        <f>APPRENANTS!C56</f>
        <v>Sabri</v>
      </c>
      <c r="E56" s="6" t="str">
        <f>APPRENANTS!F56</f>
        <v>2026-07-11</v>
      </c>
      <c r="F56" s="9">
        <f t="shared" si="2"/>
        <v>46249</v>
      </c>
      <c r="G56" s="6" t="str">
        <f>APPRENANTS!G56</f>
        <v>Accepté</v>
      </c>
      <c r="H56" s="11">
        <v>0.0</v>
      </c>
      <c r="I56" s="11">
        <v>1500.0</v>
      </c>
      <c r="J56" s="6">
        <f>IF(APPRENANTS!Y56="Oui",IF(H56&gt;0,825,750),0)</f>
        <v>750</v>
      </c>
      <c r="K56" s="11" t="s">
        <v>68</v>
      </c>
      <c r="L56" s="6" t="str">
        <f>IF(APPRENANTS!Y56="Non","Inscription non confirmee",IF(K56="Oui","Payee",IF(F56="","",IF(TODAY()&gt;=F56,"En retard - a verser","A venir"))))</f>
        <v>A venir</v>
      </c>
      <c r="M56" s="6" t="str">
        <f t="shared" si="3"/>
        <v>aout 2026</v>
      </c>
      <c r="N56" s="6" t="str">
        <f>APPRENANTS!Y56</f>
        <v>Oui</v>
      </c>
      <c r="O56" s="6">
        <f t="shared" ref="O56:P56" si="57">IF($N56="Oui",I56,0)</f>
        <v>1500</v>
      </c>
      <c r="P56" s="6">
        <f t="shared" si="57"/>
        <v>750</v>
      </c>
    </row>
    <row r="57" ht="15.0" customHeight="1">
      <c r="A57" s="6" t="str">
        <f>APPRENANTS!A57</f>
        <v>Proforma Institut</v>
      </c>
      <c r="B57" s="6" t="str">
        <f>APPRENANTS!B57</f>
        <v>VARDANYAN Anait</v>
      </c>
      <c r="C57" s="6" t="str">
        <f>APPRENANTS!D57</f>
        <v>Développer son activité avec l’intelligence artificielle</v>
      </c>
      <c r="D57" s="6" t="str">
        <f>APPRENANTS!C57</f>
        <v>Sabri</v>
      </c>
      <c r="E57" s="6" t="str">
        <f>APPRENANTS!F57</f>
        <v>2026-07-11</v>
      </c>
      <c r="F57" s="9">
        <f t="shared" si="2"/>
        <v>46249</v>
      </c>
      <c r="G57" s="6" t="str">
        <f>APPRENANTS!G57</f>
        <v>Accepté</v>
      </c>
      <c r="H57" s="11">
        <v>0.0</v>
      </c>
      <c r="I57" s="11">
        <v>1500.0</v>
      </c>
      <c r="J57" s="6">
        <f>IF(APPRENANTS!Y57="Oui",IF(H57&gt;0,825,750),0)</f>
        <v>750</v>
      </c>
      <c r="K57" s="11" t="s">
        <v>68</v>
      </c>
      <c r="L57" s="6" t="str">
        <f>IF(APPRENANTS!Y57="Non","Inscription non confirmee",IF(K57="Oui","Payee",IF(F57="","",IF(TODAY()&gt;=F57,"En retard - a verser","A venir"))))</f>
        <v>A venir</v>
      </c>
      <c r="M57" s="6" t="str">
        <f t="shared" si="3"/>
        <v>aout 2026</v>
      </c>
      <c r="N57" s="6" t="str">
        <f>APPRENANTS!Y57</f>
        <v>Oui</v>
      </c>
      <c r="O57" s="6">
        <f t="shared" ref="O57:P57" si="58">IF($N57="Oui",I57,0)</f>
        <v>1500</v>
      </c>
      <c r="P57" s="6">
        <f t="shared" si="58"/>
        <v>750</v>
      </c>
    </row>
    <row r="58" ht="15.0" customHeight="1">
      <c r="A58" s="6" t="str">
        <f>APPRENANTS!A58</f>
        <v>Proforma Institut</v>
      </c>
      <c r="B58" s="6" t="str">
        <f>APPRENANTS!B58</f>
        <v>EL BOUGHABI Adil</v>
      </c>
      <c r="C58" s="6" t="str">
        <f>APPRENANTS!D58</f>
        <v>Améliorer l'efficacité de sa TPE à l'aide de l'IA</v>
      </c>
      <c r="D58" s="6" t="str">
        <f>APPRENANTS!C58</f>
        <v>MOH</v>
      </c>
      <c r="E58" s="6" t="str">
        <f>APPRENANTS!F58</f>
        <v>2026-07-18</v>
      </c>
      <c r="F58" s="9">
        <f t="shared" si="2"/>
        <v>46256</v>
      </c>
      <c r="G58" s="6" t="str">
        <f>APPRENANTS!G58</f>
        <v>Accepté</v>
      </c>
      <c r="H58" s="11">
        <v>0.0</v>
      </c>
      <c r="I58" s="11">
        <v>1500.0</v>
      </c>
      <c r="J58" s="6">
        <f>IF(APPRENANTS!Y58="Oui",IF(H58&gt;0,825,750),0)</f>
        <v>750</v>
      </c>
      <c r="K58" s="11" t="s">
        <v>68</v>
      </c>
      <c r="L58" s="6" t="str">
        <f>IF(APPRENANTS!Y58="Non","Inscription non confirmee",IF(K58="Oui","Payee",IF(F58="","",IF(TODAY()&gt;=F58,"En retard - a verser","A venir"))))</f>
        <v>A venir</v>
      </c>
      <c r="M58" s="6" t="str">
        <f t="shared" si="3"/>
        <v>aout 2026</v>
      </c>
      <c r="N58" s="6" t="str">
        <f>APPRENANTS!Y58</f>
        <v>Oui</v>
      </c>
      <c r="O58" s="6">
        <f t="shared" ref="O58:P58" si="59">IF($N58="Oui",I58,0)</f>
        <v>1500</v>
      </c>
      <c r="P58" s="6">
        <f t="shared" si="59"/>
        <v>750</v>
      </c>
    </row>
    <row r="59" ht="15.0" customHeight="1">
      <c r="A59" s="6" t="str">
        <f>APPRENANTS!A59</f>
        <v>Proforma Institut</v>
      </c>
      <c r="B59" s="6" t="str">
        <f>APPRENANTS!B59</f>
        <v>EL BOUGHABI Adil</v>
      </c>
      <c r="C59" s="6" t="str">
        <f>APPRENANTS!D59</f>
        <v>Communiquer sur les réseaux sociaux pour promouvoir sa TPE</v>
      </c>
      <c r="D59" s="6" t="str">
        <f>APPRENANTS!C59</f>
        <v>MOH</v>
      </c>
      <c r="E59" s="6" t="str">
        <f>APPRENANTS!F59</f>
        <v>2026-07-25</v>
      </c>
      <c r="F59" s="9">
        <f t="shared" si="2"/>
        <v>46263</v>
      </c>
      <c r="G59" s="6" t="str">
        <f>APPRENANTS!G59</f>
        <v>Accepté</v>
      </c>
      <c r="H59" s="11">
        <v>0.0</v>
      </c>
      <c r="I59" s="11">
        <v>1500.0</v>
      </c>
      <c r="J59" s="6">
        <f>IF(APPRENANTS!Y59="Oui",IF(H59&gt;0,825,750),0)</f>
        <v>750</v>
      </c>
      <c r="K59" s="11" t="s">
        <v>68</v>
      </c>
      <c r="L59" s="6" t="str">
        <f>IF(APPRENANTS!Y59="Non","Inscription non confirmee",IF(K59="Oui","Payee",IF(F59="","",IF(TODAY()&gt;=F59,"En retard - a verser","A venir"))))</f>
        <v>A venir</v>
      </c>
      <c r="M59" s="6" t="str">
        <f t="shared" si="3"/>
        <v>aout 2026</v>
      </c>
      <c r="N59" s="6" t="str">
        <f>APPRENANTS!Y59</f>
        <v>Oui</v>
      </c>
      <c r="O59" s="6">
        <f t="shared" ref="O59:P59" si="60">IF($N59="Oui",I59,0)</f>
        <v>1500</v>
      </c>
      <c r="P59" s="6">
        <f t="shared" si="60"/>
        <v>750</v>
      </c>
    </row>
    <row r="60" ht="15.0" customHeight="1">
      <c r="A60" s="6" t="str">
        <f>APPRENANTS!A60</f>
        <v>Proforma Institut</v>
      </c>
      <c r="B60" s="6" t="str">
        <f>APPRENANTS!B60</f>
        <v>ALARCON Lucas</v>
      </c>
      <c r="C60" s="6" t="str">
        <f>APPRENANTS!D60</f>
        <v>Améliorer l'efficacité de sa TPE à l'aide de l'IA</v>
      </c>
      <c r="D60" s="6" t="str">
        <f>APPRENANTS!C60</f>
        <v>MOH</v>
      </c>
      <c r="E60" s="6" t="str">
        <f>APPRENANTS!F60</f>
        <v>2026-07-18</v>
      </c>
      <c r="F60" s="9">
        <f t="shared" si="2"/>
        <v>46256</v>
      </c>
      <c r="G60" s="6" t="str">
        <f>APPRENANTS!G60</f>
        <v>Accepté</v>
      </c>
      <c r="H60" s="11">
        <v>0.0</v>
      </c>
      <c r="I60" s="11">
        <v>1500.0</v>
      </c>
      <c r="J60" s="6">
        <f>IF(APPRENANTS!Y60="Oui",IF(H60&gt;0,825,750),0)</f>
        <v>750</v>
      </c>
      <c r="K60" s="11" t="s">
        <v>68</v>
      </c>
      <c r="L60" s="6" t="str">
        <f>IF(APPRENANTS!Y60="Non","Inscription non confirmee",IF(K60="Oui","Payee",IF(F60="","",IF(TODAY()&gt;=F60,"En retard - a verser","A venir"))))</f>
        <v>A venir</v>
      </c>
      <c r="M60" s="6" t="str">
        <f t="shared" si="3"/>
        <v>aout 2026</v>
      </c>
      <c r="N60" s="6" t="str">
        <f>APPRENANTS!Y60</f>
        <v>Oui</v>
      </c>
      <c r="O60" s="6">
        <f t="shared" ref="O60:P60" si="61">IF($N60="Oui",I60,0)</f>
        <v>1500</v>
      </c>
      <c r="P60" s="6">
        <f t="shared" si="61"/>
        <v>750</v>
      </c>
    </row>
    <row r="61" ht="15.0" customHeight="1">
      <c r="A61" s="6" t="str">
        <f>APPRENANTS!A61</f>
        <v>Proforma Institut</v>
      </c>
      <c r="B61" s="6" t="str">
        <f>APPRENANTS!B61</f>
        <v>ALARCON Lucas</v>
      </c>
      <c r="C61" s="6" t="str">
        <f>APPRENANTS!D61</f>
        <v>Communiquer sur les réseaux sociaux pour promouvoir sa TPE</v>
      </c>
      <c r="D61" s="6" t="str">
        <f>APPRENANTS!C61</f>
        <v>MOH</v>
      </c>
      <c r="E61" s="6" t="str">
        <f>APPRENANTS!F61</f>
        <v>2026-07-25</v>
      </c>
      <c r="F61" s="9">
        <f t="shared" si="2"/>
        <v>46263</v>
      </c>
      <c r="G61" s="6" t="str">
        <f>APPRENANTS!G61</f>
        <v>Accepté</v>
      </c>
      <c r="H61" s="11">
        <v>0.0</v>
      </c>
      <c r="I61" s="11">
        <v>1500.0</v>
      </c>
      <c r="J61" s="6">
        <f>IF(APPRENANTS!Y61="Oui",IF(H61&gt;0,825,750),0)</f>
        <v>750</v>
      </c>
      <c r="K61" s="11" t="s">
        <v>68</v>
      </c>
      <c r="L61" s="6" t="str">
        <f>IF(APPRENANTS!Y61="Non","Inscription non confirmee",IF(K61="Oui","Payee",IF(F61="","",IF(TODAY()&gt;=F61,"En retard - a verser","A venir"))))</f>
        <v>A venir</v>
      </c>
      <c r="M61" s="6" t="str">
        <f t="shared" si="3"/>
        <v>aout 2026</v>
      </c>
      <c r="N61" s="6" t="str">
        <f>APPRENANTS!Y61</f>
        <v>Oui</v>
      </c>
      <c r="O61" s="6">
        <f t="shared" ref="O61:P61" si="62">IF($N61="Oui",I61,0)</f>
        <v>1500</v>
      </c>
      <c r="P61" s="6">
        <f t="shared" si="62"/>
        <v>750</v>
      </c>
    </row>
    <row r="62" ht="15.0" customHeight="1">
      <c r="A62" s="6" t="str">
        <f>APPRENANTS!A62</f>
        <v>Proforma Institut</v>
      </c>
      <c r="B62" s="6" t="str">
        <f>APPRENANTS!B62</f>
        <v>ARGOUBI Karim</v>
      </c>
      <c r="C62" s="6" t="str">
        <f>APPRENANTS!D62</f>
        <v>Améliorer l'efficacité de sa TPE à l'aide de l'IA</v>
      </c>
      <c r="D62" s="6" t="str">
        <f>APPRENANTS!C62</f>
        <v>Djody</v>
      </c>
      <c r="E62" s="6" t="str">
        <f>APPRENANTS!F62</f>
        <v>2026-07-18</v>
      </c>
      <c r="F62" s="9">
        <f t="shared" si="2"/>
        <v>46256</v>
      </c>
      <c r="G62" s="6" t="str">
        <f>APPRENANTS!G62</f>
        <v>Accepté</v>
      </c>
      <c r="H62" s="11">
        <v>0.0</v>
      </c>
      <c r="I62" s="11">
        <v>1500.0</v>
      </c>
      <c r="J62" s="6">
        <f>IF(APPRENANTS!Y62="Oui",IF(H62&gt;0,825,750),0)</f>
        <v>750</v>
      </c>
      <c r="K62" s="11" t="s">
        <v>68</v>
      </c>
      <c r="L62" s="6" t="str">
        <f>IF(APPRENANTS!Y62="Non","Inscription non confirmee",IF(K62="Oui","Payee",IF(F62="","",IF(TODAY()&gt;=F62,"En retard - a verser","A venir"))))</f>
        <v>A venir</v>
      </c>
      <c r="M62" s="6" t="str">
        <f t="shared" si="3"/>
        <v>aout 2026</v>
      </c>
      <c r="N62" s="6" t="str">
        <f>APPRENANTS!Y62</f>
        <v>Oui</v>
      </c>
      <c r="O62" s="6">
        <f t="shared" ref="O62:P62" si="63">IF($N62="Oui",I62,0)</f>
        <v>1500</v>
      </c>
      <c r="P62" s="6">
        <f t="shared" si="63"/>
        <v>750</v>
      </c>
    </row>
    <row r="63" ht="15.0" customHeight="1">
      <c r="A63" s="6" t="str">
        <f>APPRENANTS!A63</f>
        <v>Proforma Institut</v>
      </c>
      <c r="B63" s="6" t="str">
        <f>APPRENANTS!B63</f>
        <v>ARGOUBI Karim</v>
      </c>
      <c r="C63" s="6" t="str">
        <f>APPRENANTS!D63</f>
        <v>Communiquer sur les réseaux sociaux pour promouvoir sa TPE</v>
      </c>
      <c r="D63" s="6" t="str">
        <f>APPRENANTS!C63</f>
        <v>Djody</v>
      </c>
      <c r="E63" s="6" t="str">
        <f>APPRENANTS!F63</f>
        <v>2026-07-25</v>
      </c>
      <c r="F63" s="9">
        <f t="shared" si="2"/>
        <v>46263</v>
      </c>
      <c r="G63" s="6" t="str">
        <f>APPRENANTS!G63</f>
        <v>Accepté</v>
      </c>
      <c r="H63" s="11">
        <v>0.0</v>
      </c>
      <c r="I63" s="11">
        <v>1500.0</v>
      </c>
      <c r="J63" s="6">
        <f>IF(APPRENANTS!Y63="Oui",IF(H63&gt;0,825,750),0)</f>
        <v>750</v>
      </c>
      <c r="K63" s="11" t="s">
        <v>68</v>
      </c>
      <c r="L63" s="6" t="str">
        <f>IF(APPRENANTS!Y63="Non","Inscription non confirmee",IF(K63="Oui","Payee",IF(F63="","",IF(TODAY()&gt;=F63,"En retard - a verser","A venir"))))</f>
        <v>A venir</v>
      </c>
      <c r="M63" s="6" t="str">
        <f t="shared" si="3"/>
        <v>aout 2026</v>
      </c>
      <c r="N63" s="6" t="str">
        <f>APPRENANTS!Y63</f>
        <v>Oui</v>
      </c>
      <c r="O63" s="6">
        <f t="shared" ref="O63:P63" si="64">IF($N63="Oui",I63,0)</f>
        <v>1500</v>
      </c>
      <c r="P63" s="6">
        <f t="shared" si="64"/>
        <v>750</v>
      </c>
    </row>
    <row r="64" ht="15.0" customHeight="1">
      <c r="A64" s="6" t="str">
        <f>APPRENANTS!A64</f>
        <v>Proforma Institut</v>
      </c>
      <c r="B64" s="6" t="str">
        <f>APPRENANTS!B64</f>
        <v>ARGOUBI Karim</v>
      </c>
      <c r="C64" s="6" t="str">
        <f>APPRENANTS!D64</f>
        <v>Réaliser les opérations comptables courantes d'une TPE</v>
      </c>
      <c r="D64" s="6" t="str">
        <f>APPRENANTS!C64</f>
        <v>Djody</v>
      </c>
      <c r="E64" s="6" t="str">
        <f>APPRENANTS!F64</f>
        <v>2026-08-01</v>
      </c>
      <c r="F64" s="9">
        <f t="shared" si="2"/>
        <v>46270</v>
      </c>
      <c r="G64" s="6" t="str">
        <f>APPRENANTS!G64</f>
        <v>Accepté</v>
      </c>
      <c r="H64" s="11">
        <v>0.0</v>
      </c>
      <c r="I64" s="11">
        <v>1500.0</v>
      </c>
      <c r="J64" s="6">
        <f>IF(APPRENANTS!Y64="Oui",IF(H64&gt;0,825,750),0)</f>
        <v>750</v>
      </c>
      <c r="K64" s="11" t="s">
        <v>68</v>
      </c>
      <c r="L64" s="6" t="str">
        <f>IF(APPRENANTS!Y64="Non","Inscription non confirmee",IF(K64="Oui","Payee",IF(F64="","",IF(TODAY()&gt;=F64,"En retard - a verser","A venir"))))</f>
        <v>A venir</v>
      </c>
      <c r="M64" s="6" t="str">
        <f t="shared" si="3"/>
        <v>septembre 2026</v>
      </c>
      <c r="N64" s="6" t="str">
        <f>APPRENANTS!Y64</f>
        <v>Oui</v>
      </c>
      <c r="O64" s="6">
        <f t="shared" ref="O64:P64" si="65">IF($N64="Oui",I64,0)</f>
        <v>1500</v>
      </c>
      <c r="P64" s="6">
        <f t="shared" si="65"/>
        <v>750</v>
      </c>
    </row>
    <row r="65" ht="15.0" customHeight="1">
      <c r="A65" s="6" t="str">
        <f>APPRENANTS!A65</f>
        <v>Proforma Institut</v>
      </c>
      <c r="B65" s="6" t="str">
        <f>APPRENANTS!B65</f>
        <v>DERKAOUI Sandra</v>
      </c>
      <c r="C65" s="6" t="str">
        <f>APPRENANTS!D65</f>
        <v>Améliorer l'efficacité de sa TPE à l'aide de l'IA</v>
      </c>
      <c r="D65" s="6" t="str">
        <f>APPRENANTS!C65</f>
        <v>MOH</v>
      </c>
      <c r="E65" s="6" t="str">
        <f>APPRENANTS!F65</f>
        <v>2026-08-01</v>
      </c>
      <c r="F65" s="9">
        <f t="shared" si="2"/>
        <v>46270</v>
      </c>
      <c r="G65" s="6" t="str">
        <f>APPRENANTS!G65</f>
        <v>en attente</v>
      </c>
      <c r="H65" s="11">
        <v>0.0</v>
      </c>
      <c r="I65" s="11">
        <v>1500.0</v>
      </c>
      <c r="J65" s="6">
        <f>IF(APPRENANTS!Y65="Oui",IF(H65&gt;0,825,750),0)</f>
        <v>750</v>
      </c>
      <c r="K65" s="11" t="s">
        <v>68</v>
      </c>
      <c r="L65" s="6" t="str">
        <f>IF(APPRENANTS!Y65="Non","Inscription non confirmee",IF(K65="Oui","Payee",IF(F65="","",IF(TODAY()&gt;=F65,"En retard - a verser","A venir"))))</f>
        <v>A venir</v>
      </c>
      <c r="M65" s="6" t="str">
        <f t="shared" si="3"/>
        <v>septembre 2026</v>
      </c>
      <c r="N65" s="6" t="str">
        <f>APPRENANTS!Y65</f>
        <v>Oui</v>
      </c>
      <c r="O65" s="6">
        <f t="shared" ref="O65:P65" si="66">IF($N65="Oui",I65,0)</f>
        <v>1500</v>
      </c>
      <c r="P65" s="6">
        <f t="shared" si="66"/>
        <v>750</v>
      </c>
    </row>
    <row r="66" ht="15.0" customHeight="1">
      <c r="A66" s="6" t="str">
        <f>APPRENANTS!A66</f>
        <v>Proforma Institut</v>
      </c>
      <c r="B66" s="6" t="str">
        <f>APPRENANTS!B66</f>
        <v>DERKAOUI Sandra</v>
      </c>
      <c r="C66" s="6" t="str">
        <f>APPRENANTS!D66</f>
        <v>Communiquer sur les réseaux sociaux pour promouvoir sa TPE</v>
      </c>
      <c r="D66" s="6" t="str">
        <f>APPRENANTS!C66</f>
        <v>MOH</v>
      </c>
      <c r="E66" s="6" t="str">
        <f>APPRENANTS!F66</f>
        <v>2026-08-08</v>
      </c>
      <c r="F66" s="9">
        <f t="shared" si="2"/>
        <v>46277</v>
      </c>
      <c r="G66" s="6" t="str">
        <f>APPRENANTS!G66</f>
        <v>en attente</v>
      </c>
      <c r="H66" s="11">
        <v>0.0</v>
      </c>
      <c r="I66" s="11">
        <v>1500.0</v>
      </c>
      <c r="J66" s="6">
        <f>IF(APPRENANTS!Y66="Oui",IF(H66&gt;0,825,750),0)</f>
        <v>750</v>
      </c>
      <c r="K66" s="11" t="s">
        <v>68</v>
      </c>
      <c r="L66" s="6" t="str">
        <f>IF(APPRENANTS!Y66="Non","Inscription non confirmee",IF(K66="Oui","Payee",IF(F66="","",IF(TODAY()&gt;=F66,"En retard - a verser","A venir"))))</f>
        <v>A venir</v>
      </c>
      <c r="M66" s="6" t="str">
        <f t="shared" si="3"/>
        <v>septembre 2026</v>
      </c>
      <c r="N66" s="6" t="str">
        <f>APPRENANTS!Y66</f>
        <v>Oui</v>
      </c>
      <c r="O66" s="6">
        <f t="shared" ref="O66:P66" si="67">IF($N66="Oui",I66,0)</f>
        <v>1500</v>
      </c>
      <c r="P66" s="6">
        <f t="shared" si="67"/>
        <v>750</v>
      </c>
    </row>
    <row r="67" ht="15.0" customHeight="1">
      <c r="A67" s="6" t="str">
        <f>APPRENANTS!A67</f>
        <v>Proforma Institut</v>
      </c>
      <c r="B67" s="6" t="str">
        <f>APPRENANTS!B67</f>
        <v>MASELE MUKONGA Ann</v>
      </c>
      <c r="C67" s="6" t="str">
        <f>APPRENANTS!D67</f>
        <v>Améliorer l'efficacité de sa TPE à l'aide de l'IA</v>
      </c>
      <c r="D67" s="6" t="str">
        <f>APPRENANTS!C67</f>
        <v>MOH</v>
      </c>
      <c r="E67" s="6" t="str">
        <f>APPRENANTS!F67</f>
        <v>2026-08-01</v>
      </c>
      <c r="F67" s="9">
        <f t="shared" si="2"/>
        <v>46270</v>
      </c>
      <c r="G67" s="6" t="str">
        <f>APPRENANTS!G67</f>
        <v>Accepté</v>
      </c>
      <c r="H67" s="11">
        <v>0.0</v>
      </c>
      <c r="I67" s="11">
        <v>1500.0</v>
      </c>
      <c r="J67" s="6">
        <f>IF(APPRENANTS!Y67="Oui",IF(H67&gt;0,825,750),0)</f>
        <v>750</v>
      </c>
      <c r="K67" s="11" t="s">
        <v>68</v>
      </c>
      <c r="L67" s="6" t="str">
        <f>IF(APPRENANTS!Y67="Non","Inscription non confirmee",IF(K67="Oui","Payee",IF(F67="","",IF(TODAY()&gt;=F67,"En retard - a verser","A venir"))))</f>
        <v>A venir</v>
      </c>
      <c r="M67" s="6" t="str">
        <f t="shared" si="3"/>
        <v>septembre 2026</v>
      </c>
      <c r="N67" s="6" t="str">
        <f>APPRENANTS!Y67</f>
        <v>Oui</v>
      </c>
      <c r="O67" s="6">
        <f t="shared" ref="O67:P67" si="68">IF($N67="Oui",I67,0)</f>
        <v>1500</v>
      </c>
      <c r="P67" s="6">
        <f t="shared" si="68"/>
        <v>750</v>
      </c>
    </row>
    <row r="68" ht="15.0" customHeight="1">
      <c r="A68" s="6" t="str">
        <f>APPRENANTS!A68</f>
        <v>Proforma Institut</v>
      </c>
      <c r="B68" s="6" t="str">
        <f>APPRENANTS!B68</f>
        <v>MASELE MUKONGA Ann</v>
      </c>
      <c r="C68" s="6" t="str">
        <f>APPRENANTS!D68</f>
        <v>Communiquer sur les réseaux sociaux pour promouvoir sa TPE</v>
      </c>
      <c r="D68" s="6" t="str">
        <f>APPRENANTS!C68</f>
        <v>MOH</v>
      </c>
      <c r="E68" s="6" t="str">
        <f>APPRENANTS!F68</f>
        <v>2026-08-08</v>
      </c>
      <c r="F68" s="9">
        <f t="shared" si="2"/>
        <v>46277</v>
      </c>
      <c r="G68" s="6" t="str">
        <f>APPRENANTS!G68</f>
        <v>Accepté</v>
      </c>
      <c r="H68" s="11">
        <v>0.0</v>
      </c>
      <c r="I68" s="11">
        <v>1500.0</v>
      </c>
      <c r="J68" s="6">
        <f>IF(APPRENANTS!Y68="Oui",IF(H68&gt;0,825,750),0)</f>
        <v>750</v>
      </c>
      <c r="K68" s="11" t="s">
        <v>68</v>
      </c>
      <c r="L68" s="6" t="str">
        <f>IF(APPRENANTS!Y68="Non","Inscription non confirmee",IF(K68="Oui","Payee",IF(F68="","",IF(TODAY()&gt;=F68,"En retard - a verser","A venir"))))</f>
        <v>A venir</v>
      </c>
      <c r="M68" s="6" t="str">
        <f t="shared" si="3"/>
        <v>septembre 2026</v>
      </c>
      <c r="N68" s="6" t="str">
        <f>APPRENANTS!Y68</f>
        <v>Oui</v>
      </c>
      <c r="O68" s="6">
        <f t="shared" ref="O68:P68" si="69">IF($N68="Oui",I68,0)</f>
        <v>1500</v>
      </c>
      <c r="P68" s="6">
        <f t="shared" si="69"/>
        <v>750</v>
      </c>
    </row>
    <row r="69" ht="15.0" customHeight="1">
      <c r="A69" s="6" t="str">
        <f>APPRENANTS!A69</f>
        <v>Proforma Institut</v>
      </c>
      <c r="B69" s="6" t="str">
        <f>APPRENANTS!B69</f>
        <v>MASELE MUKONGA Ann</v>
      </c>
      <c r="C69" s="6" t="str">
        <f>APPRENANTS!D69</f>
        <v>Réaliser les opérations comptables courantes d'une TPE</v>
      </c>
      <c r="D69" s="6" t="str">
        <f>APPRENANTS!C69</f>
        <v>MOH</v>
      </c>
      <c r="E69" s="6" t="str">
        <f>APPRENANTS!F69</f>
        <v>2026-08-15</v>
      </c>
      <c r="F69" s="9">
        <f t="shared" si="2"/>
        <v>46284</v>
      </c>
      <c r="G69" s="6" t="str">
        <f>APPRENANTS!G69</f>
        <v>Accepté</v>
      </c>
      <c r="H69" s="11">
        <v>0.0</v>
      </c>
      <c r="I69" s="11">
        <v>1500.0</v>
      </c>
      <c r="J69" s="6">
        <f>IF(APPRENANTS!Y69="Oui",IF(H69&gt;0,825,750),0)</f>
        <v>750</v>
      </c>
      <c r="K69" s="11" t="s">
        <v>68</v>
      </c>
      <c r="L69" s="6" t="str">
        <f>IF(APPRENANTS!Y69="Non","Inscription non confirmee",IF(K69="Oui","Payee",IF(F69="","",IF(TODAY()&gt;=F69,"En retard - a verser","A venir"))))</f>
        <v>A venir</v>
      </c>
      <c r="M69" s="6" t="str">
        <f t="shared" si="3"/>
        <v>septembre 2026</v>
      </c>
      <c r="N69" s="6" t="str">
        <f>APPRENANTS!Y69</f>
        <v>Oui</v>
      </c>
      <c r="O69" s="6">
        <f t="shared" ref="O69:P69" si="70">IF($N69="Oui",I69,0)</f>
        <v>1500</v>
      </c>
      <c r="P69" s="6">
        <f t="shared" si="70"/>
        <v>750</v>
      </c>
    </row>
    <row r="70" ht="15.0" customHeight="1">
      <c r="A70" s="6" t="str">
        <f>APPRENANTS!A70</f>
        <v>Proforma Institut</v>
      </c>
      <c r="B70" s="6" t="str">
        <f>APPRENANTS!B70</f>
        <v>SANCHEZ Fabrice</v>
      </c>
      <c r="C70" s="6" t="str">
        <f>APPRENANTS!D70</f>
        <v>Améliorer l'efficacité de sa TPE à l'aide de l'IA</v>
      </c>
      <c r="D70" s="6" t="str">
        <f>APPRENANTS!C70</f>
        <v>MOH</v>
      </c>
      <c r="E70" s="6" t="str">
        <f>APPRENANTS!F70</f>
        <v>2026-08-01</v>
      </c>
      <c r="F70" s="9">
        <f t="shared" si="2"/>
        <v>46270</v>
      </c>
      <c r="G70" s="6" t="str">
        <f>APPRENANTS!G70</f>
        <v>en attente</v>
      </c>
      <c r="H70" s="11">
        <v>0.0</v>
      </c>
      <c r="I70" s="11">
        <v>1500.0</v>
      </c>
      <c r="J70" s="6">
        <f>IF(APPRENANTS!Y70="Oui",IF(H70&gt;0,825,750),0)</f>
        <v>750</v>
      </c>
      <c r="K70" s="11" t="s">
        <v>68</v>
      </c>
      <c r="L70" s="6" t="str">
        <f>IF(APPRENANTS!Y70="Non","Inscription non confirmee",IF(K70="Oui","Payee",IF(F70="","",IF(TODAY()&gt;=F70,"En retard - a verser","A venir"))))</f>
        <v>A venir</v>
      </c>
      <c r="M70" s="6" t="str">
        <f t="shared" si="3"/>
        <v>septembre 2026</v>
      </c>
      <c r="N70" s="6" t="str">
        <f>APPRENANTS!Y70</f>
        <v>Oui</v>
      </c>
      <c r="O70" s="6">
        <f t="shared" ref="O70:P70" si="71">IF($N70="Oui",I70,0)</f>
        <v>1500</v>
      </c>
      <c r="P70" s="6">
        <f t="shared" si="71"/>
        <v>750</v>
      </c>
    </row>
    <row r="71" ht="15.0" customHeight="1">
      <c r="A71" s="6" t="str">
        <f>APPRENANTS!A71</f>
        <v>Proforma Institut</v>
      </c>
      <c r="B71" s="6" t="str">
        <f>APPRENANTS!B71</f>
        <v>SANCHEZ Fabrice</v>
      </c>
      <c r="C71" s="6" t="str">
        <f>APPRENANTS!D71</f>
        <v>Communiquer sur les réseaux sociaux pour promouvoir sa TPE</v>
      </c>
      <c r="D71" s="6" t="str">
        <f>APPRENANTS!C71</f>
        <v>MOH</v>
      </c>
      <c r="E71" s="6" t="str">
        <f>APPRENANTS!F71</f>
        <v>2026-08-08</v>
      </c>
      <c r="F71" s="9">
        <f t="shared" si="2"/>
        <v>46277</v>
      </c>
      <c r="G71" s="6" t="str">
        <f>APPRENANTS!G71</f>
        <v>en attente</v>
      </c>
      <c r="H71" s="11">
        <v>0.0</v>
      </c>
      <c r="I71" s="11">
        <v>1500.0</v>
      </c>
      <c r="J71" s="6">
        <f>IF(APPRENANTS!Y71="Oui",IF(H71&gt;0,825,750),0)</f>
        <v>750</v>
      </c>
      <c r="K71" s="11" t="s">
        <v>68</v>
      </c>
      <c r="L71" s="6" t="str">
        <f>IF(APPRENANTS!Y71="Non","Inscription non confirmee",IF(K71="Oui","Payee",IF(F71="","",IF(TODAY()&gt;=F71,"En retard - a verser","A venir"))))</f>
        <v>A venir</v>
      </c>
      <c r="M71" s="6" t="str">
        <f t="shared" si="3"/>
        <v>septembre 2026</v>
      </c>
      <c r="N71" s="6" t="str">
        <f>APPRENANTS!Y71</f>
        <v>Oui</v>
      </c>
      <c r="O71" s="6">
        <f t="shared" ref="O71:P71" si="72">IF($N71="Oui",I71,0)</f>
        <v>1500</v>
      </c>
      <c r="P71" s="6">
        <f t="shared" si="72"/>
        <v>750</v>
      </c>
    </row>
    <row r="72" ht="15.0" customHeight="1">
      <c r="A72" s="6" t="str">
        <f>APPRENANTS!A72</f>
        <v>Proforma Institut</v>
      </c>
      <c r="B72" s="6" t="str">
        <f>APPRENANTS!B72</f>
        <v>SANCHEZ Fabrice</v>
      </c>
      <c r="C72" s="6" t="str">
        <f>APPRENANTS!D72</f>
        <v>Réaliser les opérations comptables courantes d'une TPE</v>
      </c>
      <c r="D72" s="6" t="str">
        <f>APPRENANTS!C72</f>
        <v>MOH</v>
      </c>
      <c r="E72" s="6" t="str">
        <f>APPRENANTS!F72</f>
        <v>2026-08-15</v>
      </c>
      <c r="F72" s="9">
        <f t="shared" si="2"/>
        <v>46284</v>
      </c>
      <c r="G72" s="6" t="str">
        <f>APPRENANTS!G72</f>
        <v>en attente</v>
      </c>
      <c r="H72" s="11">
        <v>0.0</v>
      </c>
      <c r="I72" s="11">
        <v>1500.0</v>
      </c>
      <c r="J72" s="6">
        <f>IF(APPRENANTS!Y72="Oui",IF(H72&gt;0,825,750),0)</f>
        <v>750</v>
      </c>
      <c r="K72" s="11" t="s">
        <v>68</v>
      </c>
      <c r="L72" s="6" t="str">
        <f>IF(APPRENANTS!Y72="Non","Inscription non confirmee",IF(K72="Oui","Payee",IF(F72="","",IF(TODAY()&gt;=F72,"En retard - a verser","A venir"))))</f>
        <v>A venir</v>
      </c>
      <c r="M72" s="6" t="str">
        <f t="shared" si="3"/>
        <v>septembre 2026</v>
      </c>
      <c r="N72" s="6" t="str">
        <f>APPRENANTS!Y72</f>
        <v>Oui</v>
      </c>
      <c r="O72" s="6">
        <f t="shared" ref="O72:P72" si="73">IF($N72="Oui",I72,0)</f>
        <v>1500</v>
      </c>
      <c r="P72" s="6">
        <f t="shared" si="73"/>
        <v>750</v>
      </c>
    </row>
    <row r="73" ht="15.0" customHeight="1">
      <c r="A73" s="6" t="str">
        <f>APPRENANTS!A73</f>
        <v>Proforma Institut</v>
      </c>
      <c r="B73" s="6" t="str">
        <f>APPRENANTS!B73</f>
        <v>LAZREG Redha</v>
      </c>
      <c r="C73" s="6" t="str">
        <f>APPRENANTS!D73</f>
        <v>Améliorer l'efficacité de sa TPE à l'aide de l'IA</v>
      </c>
      <c r="D73" s="6" t="str">
        <f>APPRENANTS!C73</f>
        <v>hak</v>
      </c>
      <c r="E73" s="6" t="str">
        <f>APPRENANTS!F73</f>
        <v>2026-08-01</v>
      </c>
      <c r="F73" s="9">
        <f t="shared" si="2"/>
        <v>46270</v>
      </c>
      <c r="G73" s="6" t="str">
        <f>APPRENANTS!G73</f>
        <v>en attente</v>
      </c>
      <c r="H73" s="11">
        <v>0.0</v>
      </c>
      <c r="I73" s="11">
        <v>1500.0</v>
      </c>
      <c r="J73" s="6">
        <f>IF(APPRENANTS!Y73="Oui",IF(H73&gt;0,825,750),0)</f>
        <v>0</v>
      </c>
      <c r="K73" s="11" t="s">
        <v>68</v>
      </c>
      <c r="L73" s="6" t="str">
        <f>IF(APPRENANTS!Y73="Non","Inscription non confirmee",IF(K73="Oui","Payee",IF(F73="","",IF(TODAY()&gt;=F73,"En retard - a verser","A venir"))))</f>
        <v>Inscription non confirmee</v>
      </c>
      <c r="M73" s="6" t="str">
        <f t="shared" si="3"/>
        <v>septembre 2026</v>
      </c>
      <c r="N73" s="6" t="str">
        <f>APPRENANTS!Y73</f>
        <v>Non</v>
      </c>
      <c r="O73" s="6">
        <f t="shared" ref="O73:P73" si="74">IF($N73="Oui",I73,0)</f>
        <v>0</v>
      </c>
      <c r="P73" s="6">
        <f t="shared" si="74"/>
        <v>0</v>
      </c>
    </row>
    <row r="74" ht="15.0" customHeight="1">
      <c r="A74" s="6" t="str">
        <f>APPRENANTS!A74</f>
        <v>Proforma Institut</v>
      </c>
      <c r="B74" s="6" t="str">
        <f>APPRENANTS!B74</f>
        <v>LAZREG Redha</v>
      </c>
      <c r="C74" s="6" t="str">
        <f>APPRENANTS!D74</f>
        <v>Communiquer sur les réseaux sociaux pour promouvoir sa TPE</v>
      </c>
      <c r="D74" s="6" t="str">
        <f>APPRENANTS!C74</f>
        <v>hak</v>
      </c>
      <c r="E74" s="6" t="str">
        <f>APPRENANTS!F74</f>
        <v>2026-08-08</v>
      </c>
      <c r="F74" s="9">
        <f t="shared" si="2"/>
        <v>46277</v>
      </c>
      <c r="G74" s="6" t="str">
        <f>APPRENANTS!G74</f>
        <v>en attente</v>
      </c>
      <c r="H74" s="11">
        <v>0.0</v>
      </c>
      <c r="I74" s="11">
        <v>1500.0</v>
      </c>
      <c r="J74" s="6">
        <f>IF(APPRENANTS!Y74="Oui",IF(H74&gt;0,825,750),0)</f>
        <v>0</v>
      </c>
      <c r="K74" s="11" t="s">
        <v>68</v>
      </c>
      <c r="L74" s="6" t="str">
        <f>IF(APPRENANTS!Y74="Non","Inscription non confirmee",IF(K74="Oui","Payee",IF(F74="","",IF(TODAY()&gt;=F74,"En retard - a verser","A venir"))))</f>
        <v>Inscription non confirmee</v>
      </c>
      <c r="M74" s="6" t="str">
        <f t="shared" si="3"/>
        <v>septembre 2026</v>
      </c>
      <c r="N74" s="6" t="str">
        <f>APPRENANTS!Y74</f>
        <v>Non</v>
      </c>
      <c r="O74" s="6">
        <f t="shared" ref="O74:P74" si="75">IF($N74="Oui",I74,0)</f>
        <v>0</v>
      </c>
      <c r="P74" s="6">
        <f t="shared" si="75"/>
        <v>0</v>
      </c>
    </row>
    <row r="75" ht="15.0" customHeight="1">
      <c r="A75" s="6" t="str">
        <f>APPRENANTS!A75</f>
        <v>Proforma Institut</v>
      </c>
      <c r="B75" s="6" t="str">
        <f>APPRENANTS!B75</f>
        <v>LAZREG Redha</v>
      </c>
      <c r="C75" s="6" t="str">
        <f>APPRENANTS!D75</f>
        <v>Réaliser les opérations comptables courantes d'une TPE</v>
      </c>
      <c r="D75" s="6" t="str">
        <f>APPRENANTS!C75</f>
        <v>hak</v>
      </c>
      <c r="E75" s="6" t="str">
        <f>APPRENANTS!F75</f>
        <v>2026-08-15</v>
      </c>
      <c r="F75" s="9">
        <f t="shared" si="2"/>
        <v>46284</v>
      </c>
      <c r="G75" s="6" t="str">
        <f>APPRENANTS!G75</f>
        <v>en attente</v>
      </c>
      <c r="H75" s="11">
        <v>0.0</v>
      </c>
      <c r="I75" s="11">
        <v>1500.0</v>
      </c>
      <c r="J75" s="6">
        <f>IF(APPRENANTS!Y75="Oui",IF(H75&gt;0,825,750),0)</f>
        <v>0</v>
      </c>
      <c r="K75" s="11" t="s">
        <v>68</v>
      </c>
      <c r="L75" s="6" t="str">
        <f>IF(APPRENANTS!Y75="Non","Inscription non confirmee",IF(K75="Oui","Payee",IF(F75="","",IF(TODAY()&gt;=F75,"En retard - a verser","A venir"))))</f>
        <v>Inscription non confirmee</v>
      </c>
      <c r="M75" s="6" t="str">
        <f t="shared" si="3"/>
        <v>septembre 2026</v>
      </c>
      <c r="N75" s="6" t="str">
        <f>APPRENANTS!Y75</f>
        <v>Non</v>
      </c>
      <c r="O75" s="6">
        <f t="shared" ref="O75:P75" si="76">IF($N75="Oui",I75,0)</f>
        <v>0</v>
      </c>
      <c r="P75" s="6">
        <f t="shared" si="76"/>
        <v>0</v>
      </c>
    </row>
    <row r="76" ht="15.0" customHeight="1">
      <c r="A76" s="6" t="str">
        <f>APPRENANTS!A76</f>
        <v>Proforma Institut</v>
      </c>
      <c r="B76" s="6" t="str">
        <f>APPRENANTS!B76</f>
        <v>CATENNE Guillaume</v>
      </c>
      <c r="C76" s="6" t="str">
        <f>APPRENANTS!D76</f>
        <v>Améliorer l'efficacité de sa TPE à l'aide de l'IA</v>
      </c>
      <c r="D76" s="6" t="str">
        <f>APPRENANTS!C76</f>
        <v>hak</v>
      </c>
      <c r="E76" s="6" t="str">
        <f>APPRENANTS!F76</f>
        <v>2026-08-01</v>
      </c>
      <c r="F76" s="9">
        <f t="shared" si="2"/>
        <v>46270</v>
      </c>
      <c r="G76" s="6" t="str">
        <f>APPRENANTS!G76</f>
        <v>Accepté</v>
      </c>
      <c r="H76" s="11">
        <v>0.0</v>
      </c>
      <c r="I76" s="11">
        <v>1500.0</v>
      </c>
      <c r="J76" s="6">
        <f>IF(APPRENANTS!Y76="Oui",IF(H76&gt;0,825,750),0)</f>
        <v>750</v>
      </c>
      <c r="K76" s="11" t="s">
        <v>68</v>
      </c>
      <c r="L76" s="6" t="str">
        <f>IF(APPRENANTS!Y76="Non","Inscription non confirmee",IF(K76="Oui","Payee",IF(F76="","",IF(TODAY()&gt;=F76,"En retard - a verser","A venir"))))</f>
        <v>A venir</v>
      </c>
      <c r="M76" s="6" t="str">
        <f t="shared" si="3"/>
        <v>septembre 2026</v>
      </c>
      <c r="N76" s="6" t="str">
        <f>APPRENANTS!Y76</f>
        <v>Oui</v>
      </c>
      <c r="O76" s="6">
        <f t="shared" ref="O76:P76" si="77">IF($N76="Oui",I76,0)</f>
        <v>1500</v>
      </c>
      <c r="P76" s="6">
        <f t="shared" si="77"/>
        <v>750</v>
      </c>
    </row>
    <row r="77" ht="15.0" customHeight="1">
      <c r="A77" s="6" t="str">
        <f>APPRENANTS!A77</f>
        <v>Proforma Institut</v>
      </c>
      <c r="B77" s="6" t="str">
        <f>APPRENANTS!B77</f>
        <v>CATENNE Guillaume</v>
      </c>
      <c r="C77" s="6" t="str">
        <f>APPRENANTS!D77</f>
        <v>Communiquer sur les réseaux sociaux pour promouvoir sa TPE</v>
      </c>
      <c r="D77" s="6" t="str">
        <f>APPRENANTS!C77</f>
        <v>hak</v>
      </c>
      <c r="E77" s="6" t="str">
        <f>APPRENANTS!F77</f>
        <v>2026-08-08</v>
      </c>
      <c r="F77" s="9">
        <f t="shared" si="2"/>
        <v>46277</v>
      </c>
      <c r="G77" s="6" t="str">
        <f>APPRENANTS!G77</f>
        <v>Accepté</v>
      </c>
      <c r="H77" s="11">
        <v>0.0</v>
      </c>
      <c r="I77" s="11">
        <v>1500.0</v>
      </c>
      <c r="J77" s="6">
        <f>IF(APPRENANTS!Y77="Oui",IF(H77&gt;0,825,750),0)</f>
        <v>750</v>
      </c>
      <c r="K77" s="11" t="s">
        <v>68</v>
      </c>
      <c r="L77" s="6" t="str">
        <f>IF(APPRENANTS!Y77="Non","Inscription non confirmee",IF(K77="Oui","Payee",IF(F77="","",IF(TODAY()&gt;=F77,"En retard - a verser","A venir"))))</f>
        <v>A venir</v>
      </c>
      <c r="M77" s="6" t="str">
        <f t="shared" si="3"/>
        <v>septembre 2026</v>
      </c>
      <c r="N77" s="6" t="str">
        <f>APPRENANTS!Y77</f>
        <v>Oui</v>
      </c>
      <c r="O77" s="6">
        <f t="shared" ref="O77:P77" si="78">IF($N77="Oui",I77,0)</f>
        <v>1500</v>
      </c>
      <c r="P77" s="6">
        <f t="shared" si="78"/>
        <v>750</v>
      </c>
    </row>
    <row r="78" ht="15.0" customHeight="1">
      <c r="A78" s="6" t="str">
        <f>APPRENANTS!A78</f>
        <v>Proforma Institut</v>
      </c>
      <c r="B78" s="6" t="str">
        <f>APPRENANTS!B78</f>
        <v>CATENNE Guillaume</v>
      </c>
      <c r="C78" s="6" t="str">
        <f>APPRENANTS!D78</f>
        <v>Réaliser les opérations comptables courantes d'une TPE</v>
      </c>
      <c r="D78" s="6" t="str">
        <f>APPRENANTS!C78</f>
        <v>hak</v>
      </c>
      <c r="E78" s="6" t="str">
        <f>APPRENANTS!F78</f>
        <v>2026-08-15</v>
      </c>
      <c r="F78" s="9">
        <f t="shared" si="2"/>
        <v>46284</v>
      </c>
      <c r="G78" s="6" t="str">
        <f>APPRENANTS!G78</f>
        <v>Accepté</v>
      </c>
      <c r="H78" s="11">
        <v>0.0</v>
      </c>
      <c r="I78" s="11">
        <v>1500.0</v>
      </c>
      <c r="J78" s="6">
        <f>IF(APPRENANTS!Y78="Oui",IF(H78&gt;0,825,750),0)</f>
        <v>750</v>
      </c>
      <c r="K78" s="11" t="s">
        <v>68</v>
      </c>
      <c r="L78" s="6" t="str">
        <f>IF(APPRENANTS!Y78="Non","Inscription non confirmee",IF(K78="Oui","Payee",IF(F78="","",IF(TODAY()&gt;=F78,"En retard - a verser","A venir"))))</f>
        <v>A venir</v>
      </c>
      <c r="M78" s="6" t="str">
        <f t="shared" si="3"/>
        <v>septembre 2026</v>
      </c>
      <c r="N78" s="6" t="str">
        <f>APPRENANTS!Y78</f>
        <v>Oui</v>
      </c>
      <c r="O78" s="6">
        <f t="shared" ref="O78:P78" si="79">IF($N78="Oui",I78,0)</f>
        <v>1500</v>
      </c>
      <c r="P78" s="6">
        <f t="shared" si="79"/>
        <v>750</v>
      </c>
    </row>
    <row r="79" ht="15.0" customHeight="1">
      <c r="A79" s="6" t="str">
        <f>APPRENANTS!A79</f>
        <v>Proforma Institut</v>
      </c>
      <c r="B79" s="6" t="str">
        <f>APPRENANTS!B79</f>
        <v>BENSAID Lahouari</v>
      </c>
      <c r="C79" s="6" t="str">
        <f>APPRENANTS!D79</f>
        <v>Améliorer l'efficacité de sa TPE à l'aide de l'IA</v>
      </c>
      <c r="D79" s="6" t="str">
        <f>APPRENANTS!C79</f>
        <v>hak</v>
      </c>
      <c r="E79" s="6" t="str">
        <f>APPRENANTS!F79</f>
        <v>2026-08-01</v>
      </c>
      <c r="F79" s="9">
        <f t="shared" si="2"/>
        <v>46270</v>
      </c>
      <c r="G79" s="6" t="str">
        <f>APPRENANTS!G79</f>
        <v>en attente</v>
      </c>
      <c r="H79" s="11">
        <v>0.0</v>
      </c>
      <c r="I79" s="11">
        <v>1500.0</v>
      </c>
      <c r="J79" s="6">
        <f>IF(APPRENANTS!Y79="Oui",IF(H79&gt;0,825,750),0)</f>
        <v>750</v>
      </c>
      <c r="K79" s="11" t="s">
        <v>68</v>
      </c>
      <c r="L79" s="6" t="str">
        <f>IF(APPRENANTS!Y79="Non","Inscription non confirmee",IF(K79="Oui","Payee",IF(F79="","",IF(TODAY()&gt;=F79,"En retard - a verser","A venir"))))</f>
        <v>A venir</v>
      </c>
      <c r="M79" s="6" t="str">
        <f t="shared" si="3"/>
        <v>septembre 2026</v>
      </c>
      <c r="N79" s="6" t="str">
        <f>APPRENANTS!Y79</f>
        <v>Oui</v>
      </c>
      <c r="O79" s="6">
        <f t="shared" ref="O79:P79" si="80">IF($N79="Oui",I79,0)</f>
        <v>1500</v>
      </c>
      <c r="P79" s="6">
        <f t="shared" si="80"/>
        <v>750</v>
      </c>
    </row>
    <row r="80" ht="15.0" customHeight="1">
      <c r="A80" s="6" t="str">
        <f>APPRENANTS!A80</f>
        <v>Proforma Institut</v>
      </c>
      <c r="B80" s="6" t="str">
        <f>APPRENANTS!B80</f>
        <v>BENSAID Lahouari</v>
      </c>
      <c r="C80" s="6" t="str">
        <f>APPRENANTS!D80</f>
        <v>Communiquer sur les réseaux sociaux pour promouvoir sa TPE</v>
      </c>
      <c r="D80" s="6" t="str">
        <f>APPRENANTS!C80</f>
        <v>hak</v>
      </c>
      <c r="E80" s="6" t="str">
        <f>APPRENANTS!F80</f>
        <v>2026-08-08</v>
      </c>
      <c r="F80" s="9">
        <f t="shared" si="2"/>
        <v>46277</v>
      </c>
      <c r="G80" s="6" t="str">
        <f>APPRENANTS!G80</f>
        <v>en attente</v>
      </c>
      <c r="H80" s="11">
        <v>0.0</v>
      </c>
      <c r="I80" s="11">
        <v>1500.0</v>
      </c>
      <c r="J80" s="6">
        <f>IF(APPRENANTS!Y80="Oui",IF(H80&gt;0,825,750),0)</f>
        <v>750</v>
      </c>
      <c r="K80" s="11" t="s">
        <v>68</v>
      </c>
      <c r="L80" s="6" t="str">
        <f>IF(APPRENANTS!Y80="Non","Inscription non confirmee",IF(K80="Oui","Payee",IF(F80="","",IF(TODAY()&gt;=F80,"En retard - a verser","A venir"))))</f>
        <v>A venir</v>
      </c>
      <c r="M80" s="6" t="str">
        <f t="shared" si="3"/>
        <v>septembre 2026</v>
      </c>
      <c r="N80" s="6" t="str">
        <f>APPRENANTS!Y80</f>
        <v>Oui</v>
      </c>
      <c r="O80" s="6">
        <f t="shared" ref="O80:P80" si="81">IF($N80="Oui",I80,0)</f>
        <v>1500</v>
      </c>
      <c r="P80" s="6">
        <f t="shared" si="81"/>
        <v>750</v>
      </c>
    </row>
    <row r="81" ht="15.0" customHeight="1">
      <c r="A81" s="6" t="str">
        <f>APPRENANTS!A81</f>
        <v>Proforma Institut</v>
      </c>
      <c r="B81" s="6" t="str">
        <f>APPRENANTS!B81</f>
        <v>BENSAID Lahouari</v>
      </c>
      <c r="C81" s="6" t="str">
        <f>APPRENANTS!D81</f>
        <v>Réaliser les opérations comptables courantes d'une TPE</v>
      </c>
      <c r="D81" s="6" t="str">
        <f>APPRENANTS!C81</f>
        <v>hak</v>
      </c>
      <c r="E81" s="6" t="str">
        <f>APPRENANTS!F81</f>
        <v>2026-08-15</v>
      </c>
      <c r="F81" s="9">
        <f t="shared" si="2"/>
        <v>46284</v>
      </c>
      <c r="G81" s="6" t="str">
        <f>APPRENANTS!G81</f>
        <v>en attente</v>
      </c>
      <c r="H81" s="11">
        <v>0.0</v>
      </c>
      <c r="I81" s="11">
        <v>1500.0</v>
      </c>
      <c r="J81" s="6">
        <f>IF(APPRENANTS!Y81="Oui",IF(H81&gt;0,825,750),0)</f>
        <v>750</v>
      </c>
      <c r="K81" s="11" t="s">
        <v>68</v>
      </c>
      <c r="L81" s="6" t="str">
        <f>IF(APPRENANTS!Y81="Non","Inscription non confirmee",IF(K81="Oui","Payee",IF(F81="","",IF(TODAY()&gt;=F81,"En retard - a verser","A venir"))))</f>
        <v>A venir</v>
      </c>
      <c r="M81" s="6" t="str">
        <f t="shared" si="3"/>
        <v>septembre 2026</v>
      </c>
      <c r="N81" s="6" t="str">
        <f>APPRENANTS!Y81</f>
        <v>Oui</v>
      </c>
      <c r="O81" s="6">
        <f t="shared" ref="O81:P81" si="82">IF($N81="Oui",I81,0)</f>
        <v>1500</v>
      </c>
      <c r="P81" s="6">
        <f t="shared" si="82"/>
        <v>750</v>
      </c>
    </row>
    <row r="82" ht="15.0" customHeight="1">
      <c r="A82" s="6" t="str">
        <f>APPRENANTS!A82</f>
        <v>Proskills Institut</v>
      </c>
      <c r="B82" s="6" t="str">
        <f>APPRENANTS!B82</f>
        <v>LAUZERO Jose</v>
      </c>
      <c r="C82" s="6" t="str">
        <f>APPRENANTS!D82</f>
        <v>Améliorer l'efficacité de sa TPE à l'aide de l'IA</v>
      </c>
      <c r="D82" s="6" t="str">
        <f>APPRENANTS!C82</f>
        <v>Jules</v>
      </c>
      <c r="E82" s="6" t="str">
        <f>APPRENANTS!F82</f>
        <v>2026-05-22</v>
      </c>
      <c r="F82" s="9">
        <f t="shared" si="2"/>
        <v>46199</v>
      </c>
      <c r="G82" s="6" t="str">
        <f>APPRENANTS!G82</f>
        <v>payé</v>
      </c>
      <c r="H82" s="11">
        <v>0.0</v>
      </c>
      <c r="I82" s="11">
        <v>1500.0</v>
      </c>
      <c r="J82" s="6">
        <f>IF(APPRENANTS!Y82="Oui",IF(H82&gt;0,825,750),0)</f>
        <v>750</v>
      </c>
      <c r="K82" s="11" t="s">
        <v>68</v>
      </c>
      <c r="L82" s="6" t="str">
        <f>IF(APPRENANTS!Y82="Non","Inscription non confirmee",IF(K82="Oui","Payee",IF(F82="","",IF(TODAY()&gt;=F82,"En retard - a verser","A venir"))))</f>
        <v>En retard - a verser</v>
      </c>
      <c r="M82" s="6" t="str">
        <f t="shared" si="3"/>
        <v>juin 2026</v>
      </c>
      <c r="N82" s="6" t="str">
        <f>APPRENANTS!Y82</f>
        <v>Oui</v>
      </c>
      <c r="O82" s="6">
        <f t="shared" ref="O82:P82" si="83">IF($N82="Oui",I82,0)</f>
        <v>1500</v>
      </c>
      <c r="P82" s="6">
        <f t="shared" si="83"/>
        <v>750</v>
      </c>
    </row>
    <row r="83" ht="15.0" customHeight="1">
      <c r="A83" s="6" t="str">
        <f>APPRENANTS!A83</f>
        <v>Proskills Institut</v>
      </c>
      <c r="B83" s="6" t="str">
        <f>APPRENANTS!B83</f>
        <v>LAUZERO Jose</v>
      </c>
      <c r="C83" s="6" t="str">
        <f>APPRENANTS!D83</f>
        <v>Communiquer sur les réseaux sociaux pour promouvoir sa TPE</v>
      </c>
      <c r="D83" s="6" t="str">
        <f>APPRENANTS!C83</f>
        <v>Jules</v>
      </c>
      <c r="E83" s="6" t="str">
        <f>APPRENANTS!F83</f>
        <v>2026-05-30</v>
      </c>
      <c r="F83" s="9">
        <f t="shared" si="2"/>
        <v>46207</v>
      </c>
      <c r="G83" s="6" t="str">
        <f>APPRENANTS!G83</f>
        <v>payé</v>
      </c>
      <c r="H83" s="11">
        <v>0.0</v>
      </c>
      <c r="I83" s="11">
        <v>1500.0</v>
      </c>
      <c r="J83" s="6">
        <f>IF(APPRENANTS!Y83="Oui",IF(H83&gt;0,825,750),0)</f>
        <v>750</v>
      </c>
      <c r="K83" s="11" t="s">
        <v>68</v>
      </c>
      <c r="L83" s="6" t="str">
        <f>IF(APPRENANTS!Y83="Non","Inscription non confirmee",IF(K83="Oui","Payee",IF(F83="","",IF(TODAY()&gt;=F83,"En retard - a verser","A venir"))))</f>
        <v>En retard - a verser</v>
      </c>
      <c r="M83" s="6" t="str">
        <f t="shared" si="3"/>
        <v>juillet 2026</v>
      </c>
      <c r="N83" s="6" t="str">
        <f>APPRENANTS!Y83</f>
        <v>Oui</v>
      </c>
      <c r="O83" s="6">
        <f t="shared" ref="O83:P83" si="84">IF($N83="Oui",I83,0)</f>
        <v>1500</v>
      </c>
      <c r="P83" s="6">
        <f t="shared" si="84"/>
        <v>750</v>
      </c>
    </row>
    <row r="84" ht="15.0" customHeight="1">
      <c r="A84" s="6" t="str">
        <f>APPRENANTS!A84</f>
        <v>Proskills Institut</v>
      </c>
      <c r="B84" s="6" t="str">
        <f>APPRENANTS!B84</f>
        <v>LAUZERO Jose</v>
      </c>
      <c r="C84" s="6" t="str">
        <f>APPRENANTS!D84</f>
        <v>Réaliser les opérations comptables courantes d'une TPE</v>
      </c>
      <c r="D84" s="6" t="str">
        <f>APPRENANTS!C84</f>
        <v>Jules</v>
      </c>
      <c r="E84" s="6" t="str">
        <f>APPRENANTS!F84</f>
        <v>2026-06-05</v>
      </c>
      <c r="F84" s="9">
        <f t="shared" si="2"/>
        <v>46213</v>
      </c>
      <c r="G84" s="6" t="str">
        <f>APPRENANTS!G84</f>
        <v>FACTURE</v>
      </c>
      <c r="H84" s="11">
        <v>0.0</v>
      </c>
      <c r="I84" s="11">
        <v>1500.0</v>
      </c>
      <c r="J84" s="6">
        <f>IF(APPRENANTS!Y84="Oui",IF(H84&gt;0,825,750),0)</f>
        <v>750</v>
      </c>
      <c r="K84" s="11" t="s">
        <v>68</v>
      </c>
      <c r="L84" s="6" t="str">
        <f>IF(APPRENANTS!Y84="Non","Inscription non confirmee",IF(K84="Oui","Payee",IF(F84="","",IF(TODAY()&gt;=F84,"En retard - a verser","A venir"))))</f>
        <v>En retard - a verser</v>
      </c>
      <c r="M84" s="6" t="str">
        <f t="shared" si="3"/>
        <v>juillet 2026</v>
      </c>
      <c r="N84" s="6" t="str">
        <f>APPRENANTS!Y84</f>
        <v>Oui</v>
      </c>
      <c r="O84" s="6">
        <f t="shared" ref="O84:P84" si="85">IF($N84="Oui",I84,0)</f>
        <v>1500</v>
      </c>
      <c r="P84" s="6">
        <f t="shared" si="85"/>
        <v>750</v>
      </c>
    </row>
    <row r="85" ht="15.0" customHeight="1">
      <c r="A85" s="6" t="str">
        <f>APPRENANTS!A85</f>
        <v>Proskills Institut</v>
      </c>
      <c r="B85" s="6" t="str">
        <f>APPRENANTS!B85</f>
        <v>MIEGE Cesar</v>
      </c>
      <c r="C85" s="6" t="str">
        <f>APPRENANTS!D85</f>
        <v>Améliorer l'efficacité de sa TPE à l'aide de l'IA</v>
      </c>
      <c r="D85" s="6" t="str">
        <f>APPRENANTS!C85</f>
        <v>Jules</v>
      </c>
      <c r="E85" s="6" t="str">
        <f>APPRENANTS!F85</f>
        <v>2026-05-22</v>
      </c>
      <c r="F85" s="9">
        <f t="shared" si="2"/>
        <v>46199</v>
      </c>
      <c r="G85" s="6" t="str">
        <f>APPRENANTS!G85</f>
        <v>payé</v>
      </c>
      <c r="H85" s="11">
        <v>0.0</v>
      </c>
      <c r="I85" s="11">
        <v>1500.0</v>
      </c>
      <c r="J85" s="6">
        <f>IF(APPRENANTS!Y85="Oui",IF(H85&gt;0,825,750),0)</f>
        <v>750</v>
      </c>
      <c r="K85" s="11" t="s">
        <v>68</v>
      </c>
      <c r="L85" s="6" t="str">
        <f>IF(APPRENANTS!Y85="Non","Inscription non confirmee",IF(K85="Oui","Payee",IF(F85="","",IF(TODAY()&gt;=F85,"En retard - a verser","A venir"))))</f>
        <v>En retard - a verser</v>
      </c>
      <c r="M85" s="6" t="str">
        <f t="shared" si="3"/>
        <v>juin 2026</v>
      </c>
      <c r="N85" s="6" t="str">
        <f>APPRENANTS!Y85</f>
        <v>Oui</v>
      </c>
      <c r="O85" s="6">
        <f t="shared" ref="O85:P85" si="86">IF($N85="Oui",I85,0)</f>
        <v>1500</v>
      </c>
      <c r="P85" s="6">
        <f t="shared" si="86"/>
        <v>750</v>
      </c>
    </row>
    <row r="86" ht="15.0" customHeight="1">
      <c r="A86" s="6" t="str">
        <f>APPRENANTS!A86</f>
        <v>Proskills Institut</v>
      </c>
      <c r="B86" s="6" t="str">
        <f>APPRENANTS!B86</f>
        <v>MIEGE Cesar</v>
      </c>
      <c r="C86" s="6" t="str">
        <f>APPRENANTS!D86</f>
        <v>Communiquer sur les réseaux sociaux pour promouvoir sa TPE</v>
      </c>
      <c r="D86" s="6" t="str">
        <f>APPRENANTS!C86</f>
        <v>Jules</v>
      </c>
      <c r="E86" s="6" t="str">
        <f>APPRENANTS!F86</f>
        <v>2026-05-30</v>
      </c>
      <c r="F86" s="9">
        <f t="shared" si="2"/>
        <v>46207</v>
      </c>
      <c r="G86" s="6" t="str">
        <f>APPRENANTS!G86</f>
        <v>payé</v>
      </c>
      <c r="H86" s="11">
        <v>0.0</v>
      </c>
      <c r="I86" s="11">
        <v>1500.0</v>
      </c>
      <c r="J86" s="6">
        <f>IF(APPRENANTS!Y86="Oui",IF(H86&gt;0,825,750),0)</f>
        <v>750</v>
      </c>
      <c r="K86" s="11" t="s">
        <v>68</v>
      </c>
      <c r="L86" s="6" t="str">
        <f>IF(APPRENANTS!Y86="Non","Inscription non confirmee",IF(K86="Oui","Payee",IF(F86="","",IF(TODAY()&gt;=F86,"En retard - a verser","A venir"))))</f>
        <v>En retard - a verser</v>
      </c>
      <c r="M86" s="6" t="str">
        <f t="shared" si="3"/>
        <v>juillet 2026</v>
      </c>
      <c r="N86" s="6" t="str">
        <f>APPRENANTS!Y86</f>
        <v>Oui</v>
      </c>
      <c r="O86" s="6">
        <f t="shared" ref="O86:P86" si="87">IF($N86="Oui",I86,0)</f>
        <v>1500</v>
      </c>
      <c r="P86" s="6">
        <f t="shared" si="87"/>
        <v>750</v>
      </c>
    </row>
    <row r="87" ht="15.0" customHeight="1">
      <c r="A87" s="6" t="str">
        <f>APPRENANTS!A87</f>
        <v>Proskills Institut</v>
      </c>
      <c r="B87" s="6" t="str">
        <f>APPRENANTS!B87</f>
        <v>BONILLO Olivier</v>
      </c>
      <c r="C87" s="6" t="str">
        <f>APPRENANTS!D87</f>
        <v>Améliorer l'efficacité de sa TPE à l'aide de l'IA</v>
      </c>
      <c r="D87" s="6" t="str">
        <f>APPRENANTS!C87</f>
        <v>Jules</v>
      </c>
      <c r="E87" s="6" t="str">
        <f>APPRENANTS!F87</f>
        <v>2026-05-22</v>
      </c>
      <c r="F87" s="9">
        <f t="shared" si="2"/>
        <v>46199</v>
      </c>
      <c r="G87" s="6" t="str">
        <f>APPRENANTS!G87</f>
        <v>payé</v>
      </c>
      <c r="H87" s="11">
        <v>0.0</v>
      </c>
      <c r="I87" s="11">
        <v>1500.0</v>
      </c>
      <c r="J87" s="6">
        <f>IF(APPRENANTS!Y87="Oui",IF(H87&gt;0,825,750),0)</f>
        <v>750</v>
      </c>
      <c r="K87" s="11" t="s">
        <v>68</v>
      </c>
      <c r="L87" s="6" t="str">
        <f>IF(APPRENANTS!Y87="Non","Inscription non confirmee",IF(K87="Oui","Payee",IF(F87="","",IF(TODAY()&gt;=F87,"En retard - a verser","A venir"))))</f>
        <v>En retard - a verser</v>
      </c>
      <c r="M87" s="6" t="str">
        <f t="shared" si="3"/>
        <v>juin 2026</v>
      </c>
      <c r="N87" s="6" t="str">
        <f>APPRENANTS!Y87</f>
        <v>Oui</v>
      </c>
      <c r="O87" s="6">
        <f t="shared" ref="O87:P87" si="88">IF($N87="Oui",I87,0)</f>
        <v>1500</v>
      </c>
      <c r="P87" s="6">
        <f t="shared" si="88"/>
        <v>750</v>
      </c>
    </row>
    <row r="88" ht="15.0" customHeight="1">
      <c r="A88" s="6" t="str">
        <f>APPRENANTS!A88</f>
        <v>Proskills Institut</v>
      </c>
      <c r="B88" s="6" t="str">
        <f>APPRENANTS!B88</f>
        <v>BONILLO Olivier</v>
      </c>
      <c r="C88" s="6" t="str">
        <f>APPRENANTS!D88</f>
        <v>Communiquer sur les réseaux sociaux pour promouvoir sa TPE</v>
      </c>
      <c r="D88" s="6" t="str">
        <f>APPRENANTS!C88</f>
        <v>Jules</v>
      </c>
      <c r="E88" s="6" t="str">
        <f>APPRENANTS!F88</f>
        <v>2026-05-30</v>
      </c>
      <c r="F88" s="9">
        <f t="shared" si="2"/>
        <v>46207</v>
      </c>
      <c r="G88" s="6" t="str">
        <f>APPRENANTS!G88</f>
        <v>payé</v>
      </c>
      <c r="H88" s="11">
        <v>0.0</v>
      </c>
      <c r="I88" s="11">
        <v>1500.0</v>
      </c>
      <c r="J88" s="6">
        <f>IF(APPRENANTS!Y88="Oui",IF(H88&gt;0,825,750),0)</f>
        <v>750</v>
      </c>
      <c r="K88" s="11" t="s">
        <v>68</v>
      </c>
      <c r="L88" s="6" t="str">
        <f>IF(APPRENANTS!Y88="Non","Inscription non confirmee",IF(K88="Oui","Payee",IF(F88="","",IF(TODAY()&gt;=F88,"En retard - a verser","A venir"))))</f>
        <v>En retard - a verser</v>
      </c>
      <c r="M88" s="6" t="str">
        <f t="shared" si="3"/>
        <v>juillet 2026</v>
      </c>
      <c r="N88" s="6" t="str">
        <f>APPRENANTS!Y88</f>
        <v>Oui</v>
      </c>
      <c r="O88" s="6">
        <f t="shared" ref="O88:P88" si="89">IF($N88="Oui",I88,0)</f>
        <v>1500</v>
      </c>
      <c r="P88" s="6">
        <f t="shared" si="89"/>
        <v>750</v>
      </c>
    </row>
    <row r="89" ht="15.0" customHeight="1">
      <c r="A89" s="6" t="str">
        <f>APPRENANTS!A89</f>
        <v>Proskills Institut</v>
      </c>
      <c r="B89" s="6" t="str">
        <f>APPRENANTS!B89</f>
        <v>GRAS Arnaud</v>
      </c>
      <c r="C89" s="6" t="str">
        <f>APPRENANTS!D89</f>
        <v>Développer son activité avec l'intelligence artificielle</v>
      </c>
      <c r="D89" s="6" t="str">
        <f>APPRENANTS!C89</f>
        <v>Djody</v>
      </c>
      <c r="E89" s="6" t="str">
        <f>APPRENANTS!F89</f>
        <v>2026-06-05</v>
      </c>
      <c r="F89" s="9">
        <f t="shared" si="2"/>
        <v>46213</v>
      </c>
      <c r="G89" s="6" t="str">
        <f>APPRENANTS!G89</f>
        <v>payé</v>
      </c>
      <c r="H89" s="11">
        <v>0.0</v>
      </c>
      <c r="I89" s="11">
        <v>1500.0</v>
      </c>
      <c r="J89" s="6">
        <f>IF(APPRENANTS!Y89="Oui",IF(H89&gt;0,825,750),0)</f>
        <v>750</v>
      </c>
      <c r="K89" s="11" t="s">
        <v>68</v>
      </c>
      <c r="L89" s="6" t="str">
        <f>IF(APPRENANTS!Y89="Non","Inscription non confirmee",IF(K89="Oui","Payee",IF(F89="","",IF(TODAY()&gt;=F89,"En retard - a verser","A venir"))))</f>
        <v>En retard - a verser</v>
      </c>
      <c r="M89" s="6" t="str">
        <f t="shared" si="3"/>
        <v>juillet 2026</v>
      </c>
      <c r="N89" s="6" t="str">
        <f>APPRENANTS!Y89</f>
        <v>Oui</v>
      </c>
      <c r="O89" s="6">
        <f t="shared" ref="O89:P89" si="90">IF($N89="Oui",I89,0)</f>
        <v>1500</v>
      </c>
      <c r="P89" s="6">
        <f t="shared" si="90"/>
        <v>750</v>
      </c>
    </row>
    <row r="90" ht="15.0" customHeight="1">
      <c r="A90" s="6" t="str">
        <f>APPRENANTS!A90</f>
        <v>Proskills Institut</v>
      </c>
      <c r="B90" s="6" t="str">
        <f>APPRENANTS!B90</f>
        <v>GUILLOU Mael</v>
      </c>
      <c r="C90" s="6" t="str">
        <f>APPRENANTS!D90</f>
        <v>Réaliser les opérations comptables courantes d'une TPE</v>
      </c>
      <c r="D90" s="6" t="str">
        <f>APPRENANTS!C90</f>
        <v>Sabri</v>
      </c>
      <c r="E90" s="6" t="str">
        <f>APPRENANTS!F90</f>
        <v>2026-06-05</v>
      </c>
      <c r="F90" s="9">
        <f t="shared" si="2"/>
        <v>46213</v>
      </c>
      <c r="G90" s="6" t="str">
        <f>APPRENANTS!G90</f>
        <v>FACTURE</v>
      </c>
      <c r="H90" s="11">
        <v>0.0</v>
      </c>
      <c r="I90" s="11">
        <v>1500.0</v>
      </c>
      <c r="J90" s="6">
        <f>IF(APPRENANTS!Y90="Oui",IF(H90&gt;0,825,750),0)</f>
        <v>750</v>
      </c>
      <c r="K90" s="11" t="s">
        <v>68</v>
      </c>
      <c r="L90" s="6" t="str">
        <f>IF(APPRENANTS!Y90="Non","Inscription non confirmee",IF(K90="Oui","Payee",IF(F90="","",IF(TODAY()&gt;=F90,"En retard - a verser","A venir"))))</f>
        <v>En retard - a verser</v>
      </c>
      <c r="M90" s="6" t="str">
        <f t="shared" si="3"/>
        <v>juillet 2026</v>
      </c>
      <c r="N90" s="6" t="str">
        <f>APPRENANTS!Y90</f>
        <v>Oui</v>
      </c>
      <c r="O90" s="6">
        <f t="shared" ref="O90:P90" si="91">IF($N90="Oui",I90,0)</f>
        <v>1500</v>
      </c>
      <c r="P90" s="6">
        <f t="shared" si="91"/>
        <v>750</v>
      </c>
    </row>
    <row r="91" ht="15.0" customHeight="1">
      <c r="A91" s="6" t="str">
        <f>APPRENANTS!A91</f>
        <v>Proskills Institut</v>
      </c>
      <c r="B91" s="6" t="str">
        <f>APPRENANTS!B91</f>
        <v>GUILLOU Mael</v>
      </c>
      <c r="C91" s="6" t="str">
        <f>APPRENANTS!D91</f>
        <v>Communiquer sur les réseaux sociaux pour promouvoir sa TPE</v>
      </c>
      <c r="D91" s="6" t="str">
        <f>APPRENANTS!C91</f>
        <v>Sabri</v>
      </c>
      <c r="E91" s="6" t="str">
        <f>APPRENANTS!F91</f>
        <v>2026-05-30</v>
      </c>
      <c r="F91" s="9">
        <f t="shared" si="2"/>
        <v>46207</v>
      </c>
      <c r="G91" s="6" t="str">
        <f>APPRENANTS!G91</f>
        <v>payé</v>
      </c>
      <c r="H91" s="11">
        <v>0.0</v>
      </c>
      <c r="I91" s="11">
        <v>1500.0</v>
      </c>
      <c r="J91" s="6">
        <f>IF(APPRENANTS!Y91="Oui",IF(H91&gt;0,825,750),0)</f>
        <v>750</v>
      </c>
      <c r="K91" s="11" t="s">
        <v>68</v>
      </c>
      <c r="L91" s="6" t="str">
        <f>IF(APPRENANTS!Y91="Non","Inscription non confirmee",IF(K91="Oui","Payee",IF(F91="","",IF(TODAY()&gt;=F91,"En retard - a verser","A venir"))))</f>
        <v>En retard - a verser</v>
      </c>
      <c r="M91" s="6" t="str">
        <f t="shared" si="3"/>
        <v>juillet 2026</v>
      </c>
      <c r="N91" s="6" t="str">
        <f>APPRENANTS!Y91</f>
        <v>Oui</v>
      </c>
      <c r="O91" s="6">
        <f t="shared" ref="O91:P91" si="92">IF($N91="Oui",I91,0)</f>
        <v>1500</v>
      </c>
      <c r="P91" s="6">
        <f t="shared" si="92"/>
        <v>750</v>
      </c>
    </row>
    <row r="92" ht="15.0" customHeight="1">
      <c r="A92" s="6" t="str">
        <f>APPRENANTS!A92</f>
        <v>Proskills Institut</v>
      </c>
      <c r="B92" s="6" t="str">
        <f>APPRENANTS!B92</f>
        <v>AMEUR Kamel</v>
      </c>
      <c r="C92" s="6" t="str">
        <f>APPRENANTS!D92</f>
        <v>Réaliser les opérations comptables courantes d'une TPE</v>
      </c>
      <c r="D92" s="6" t="str">
        <f>APPRENANTS!C92</f>
        <v>Brian</v>
      </c>
      <c r="E92" s="6" t="str">
        <f>APPRENANTS!F92</f>
        <v>2026-06-05</v>
      </c>
      <c r="F92" s="9">
        <f t="shared" si="2"/>
        <v>46213</v>
      </c>
      <c r="G92" s="6" t="str">
        <f>APPRENANTS!G92</f>
        <v>Accepté</v>
      </c>
      <c r="H92" s="11">
        <v>0.0</v>
      </c>
      <c r="I92" s="11">
        <v>1500.0</v>
      </c>
      <c r="J92" s="6">
        <f>IF(APPRENANTS!Y92="Oui",IF(H92&gt;0,825,750),0)</f>
        <v>750</v>
      </c>
      <c r="K92" s="11" t="s">
        <v>68</v>
      </c>
      <c r="L92" s="6" t="str">
        <f>IF(APPRENANTS!Y92="Non","Inscription non confirmee",IF(K92="Oui","Payee",IF(F92="","",IF(TODAY()&gt;=F92,"En retard - a verser","A venir"))))</f>
        <v>En retard - a verser</v>
      </c>
      <c r="M92" s="6" t="str">
        <f t="shared" si="3"/>
        <v>juillet 2026</v>
      </c>
      <c r="N92" s="6" t="str">
        <f>APPRENANTS!Y92</f>
        <v>Oui</v>
      </c>
      <c r="O92" s="6">
        <f t="shared" ref="O92:P92" si="93">IF($N92="Oui",I92,0)</f>
        <v>1500</v>
      </c>
      <c r="P92" s="6">
        <f t="shared" si="93"/>
        <v>750</v>
      </c>
    </row>
    <row r="93" ht="15.0" customHeight="1">
      <c r="A93" s="6" t="str">
        <f>APPRENANTS!A93</f>
        <v>Proskills Institut</v>
      </c>
      <c r="B93" s="6" t="str">
        <f>APPRENANTS!B93</f>
        <v>AMEUR Kamel</v>
      </c>
      <c r="C93" s="6" t="str">
        <f>APPRENANTS!D93</f>
        <v>Communiquer sur les réseaux sociaux pour promouvoir sa TPE</v>
      </c>
      <c r="D93" s="6" t="str">
        <f>APPRENANTS!C93</f>
        <v>Brian</v>
      </c>
      <c r="E93" s="6" t="str">
        <f>APPRENANTS!F93</f>
        <v>2026-05-30</v>
      </c>
      <c r="F93" s="9">
        <f t="shared" si="2"/>
        <v>46207</v>
      </c>
      <c r="G93" s="6" t="str">
        <f>APPRENANTS!G93</f>
        <v>payé</v>
      </c>
      <c r="H93" s="11">
        <v>0.0</v>
      </c>
      <c r="I93" s="11">
        <v>1500.0</v>
      </c>
      <c r="J93" s="6">
        <f>IF(APPRENANTS!Y93="Oui",IF(H93&gt;0,825,750),0)</f>
        <v>750</v>
      </c>
      <c r="K93" s="11" t="s">
        <v>68</v>
      </c>
      <c r="L93" s="6" t="str">
        <f>IF(APPRENANTS!Y93="Non","Inscription non confirmee",IF(K93="Oui","Payee",IF(F93="","",IF(TODAY()&gt;=F93,"En retard - a verser","A venir"))))</f>
        <v>En retard - a verser</v>
      </c>
      <c r="M93" s="6" t="str">
        <f t="shared" si="3"/>
        <v>juillet 2026</v>
      </c>
      <c r="N93" s="6" t="str">
        <f>APPRENANTS!Y93</f>
        <v>Oui</v>
      </c>
      <c r="O93" s="6">
        <f t="shared" ref="O93:P93" si="94">IF($N93="Oui",I93,0)</f>
        <v>1500</v>
      </c>
      <c r="P93" s="6">
        <f t="shared" si="94"/>
        <v>750</v>
      </c>
    </row>
    <row r="94" ht="15.0" customHeight="1">
      <c r="A94" s="6" t="str">
        <f>APPRENANTS!A94</f>
        <v>Proskills Institut</v>
      </c>
      <c r="B94" s="6" t="str">
        <f>APPRENANTS!B94</f>
        <v>LAUZERO Caroline</v>
      </c>
      <c r="C94" s="6" t="str">
        <f>APPRENANTS!D94</f>
        <v>Améliorer l'efficacité de sa TPE à l'aide de l'IA</v>
      </c>
      <c r="D94" s="6" t="str">
        <f>APPRENANTS!C94</f>
        <v>Jules</v>
      </c>
      <c r="E94" s="6" t="str">
        <f>APPRENANTS!F94</f>
        <v>2026-06-13</v>
      </c>
      <c r="F94" s="9">
        <f t="shared" si="2"/>
        <v>46221</v>
      </c>
      <c r="G94" s="6" t="str">
        <f>APPRENANTS!G94</f>
        <v>FACTURE</v>
      </c>
      <c r="H94" s="11">
        <v>0.0</v>
      </c>
      <c r="I94" s="11">
        <v>1500.0</v>
      </c>
      <c r="J94" s="6">
        <f>IF(APPRENANTS!Y94="Oui",IF(H94&gt;0,825,750),0)</f>
        <v>750</v>
      </c>
      <c r="K94" s="11" t="s">
        <v>68</v>
      </c>
      <c r="L94" s="6" t="str">
        <f>IF(APPRENANTS!Y94="Non","Inscription non confirmee",IF(K94="Oui","Payee",IF(F94="","",IF(TODAY()&gt;=F94,"En retard - a verser","A venir"))))</f>
        <v>En retard - a verser</v>
      </c>
      <c r="M94" s="6" t="str">
        <f t="shared" si="3"/>
        <v>juillet 2026</v>
      </c>
      <c r="N94" s="6" t="str">
        <f>APPRENANTS!Y94</f>
        <v>Oui</v>
      </c>
      <c r="O94" s="6">
        <f t="shared" ref="O94:P94" si="95">IF($N94="Oui",I94,0)</f>
        <v>1500</v>
      </c>
      <c r="P94" s="6">
        <f t="shared" si="95"/>
        <v>750</v>
      </c>
    </row>
    <row r="95" ht="15.0" customHeight="1">
      <c r="A95" s="6" t="str">
        <f>APPRENANTS!A95</f>
        <v>Proskills Institut</v>
      </c>
      <c r="B95" s="6" t="str">
        <f>APPRENANTS!B95</f>
        <v>LAUZERO Caroline</v>
      </c>
      <c r="C95" s="6" t="str">
        <f>APPRENANTS!D95</f>
        <v>Communiquer sur les réseaux sociaux pour promouvoir sa TPE</v>
      </c>
      <c r="D95" s="6" t="str">
        <f>APPRENANTS!C95</f>
        <v>Jules</v>
      </c>
      <c r="E95" s="6" t="str">
        <f>APPRENANTS!F95</f>
        <v>2026-05-30</v>
      </c>
      <c r="F95" s="9">
        <f t="shared" si="2"/>
        <v>46207</v>
      </c>
      <c r="G95" s="6" t="str">
        <f>APPRENANTS!G95</f>
        <v>payé</v>
      </c>
      <c r="H95" s="11">
        <v>0.0</v>
      </c>
      <c r="I95" s="11">
        <v>1500.0</v>
      </c>
      <c r="J95" s="6">
        <f>IF(APPRENANTS!Y95="Oui",IF(H95&gt;0,825,750),0)</f>
        <v>750</v>
      </c>
      <c r="K95" s="11" t="s">
        <v>68</v>
      </c>
      <c r="L95" s="6" t="str">
        <f>IF(APPRENANTS!Y95="Non","Inscription non confirmee",IF(K95="Oui","Payee",IF(F95="","",IF(TODAY()&gt;=F95,"En retard - a verser","A venir"))))</f>
        <v>En retard - a verser</v>
      </c>
      <c r="M95" s="6" t="str">
        <f t="shared" si="3"/>
        <v>juillet 2026</v>
      </c>
      <c r="N95" s="6" t="str">
        <f>APPRENANTS!Y95</f>
        <v>Oui</v>
      </c>
      <c r="O95" s="6">
        <f t="shared" ref="O95:P95" si="96">IF($N95="Oui",I95,0)</f>
        <v>1500</v>
      </c>
      <c r="P95" s="6">
        <f t="shared" si="96"/>
        <v>750</v>
      </c>
    </row>
    <row r="96" ht="15.0" customHeight="1">
      <c r="A96" s="6" t="str">
        <f>APPRENANTS!A96</f>
        <v>Proskills Institut</v>
      </c>
      <c r="B96" s="6" t="str">
        <f>APPRENANTS!B96</f>
        <v>LAUZERO Caroline</v>
      </c>
      <c r="C96" s="6" t="str">
        <f>APPRENANTS!D96</f>
        <v>Réaliser les opérations comptables courantes d'une TPE</v>
      </c>
      <c r="D96" s="6" t="str">
        <f>APPRENANTS!C96</f>
        <v>Jules</v>
      </c>
      <c r="E96" s="6" t="str">
        <f>APPRENANTS!F96</f>
        <v>2026-06-05</v>
      </c>
      <c r="F96" s="9">
        <f t="shared" si="2"/>
        <v>46213</v>
      </c>
      <c r="G96" s="6" t="str">
        <f>APPRENANTS!G96</f>
        <v>FACTURE</v>
      </c>
      <c r="H96" s="11">
        <v>0.0</v>
      </c>
      <c r="I96" s="11">
        <v>1500.0</v>
      </c>
      <c r="J96" s="6">
        <f>IF(APPRENANTS!Y96="Oui",IF(H96&gt;0,825,750),0)</f>
        <v>750</v>
      </c>
      <c r="K96" s="11" t="s">
        <v>68</v>
      </c>
      <c r="L96" s="6" t="str">
        <f>IF(APPRENANTS!Y96="Non","Inscription non confirmee",IF(K96="Oui","Payee",IF(F96="","",IF(TODAY()&gt;=F96,"En retard - a verser","A venir"))))</f>
        <v>En retard - a verser</v>
      </c>
      <c r="M96" s="6" t="str">
        <f t="shared" si="3"/>
        <v>juillet 2026</v>
      </c>
      <c r="N96" s="6" t="str">
        <f>APPRENANTS!Y96</f>
        <v>Oui</v>
      </c>
      <c r="O96" s="6">
        <f t="shared" ref="O96:P96" si="97">IF($N96="Oui",I96,0)</f>
        <v>1500</v>
      </c>
      <c r="P96" s="6">
        <f t="shared" si="97"/>
        <v>750</v>
      </c>
    </row>
    <row r="97" ht="15.0" customHeight="1">
      <c r="A97" s="6" t="str">
        <f>APPRENANTS!A97</f>
        <v>Proskills Institut</v>
      </c>
      <c r="B97" s="6" t="str">
        <f>APPRENANTS!B97</f>
        <v>HUGARD Jose</v>
      </c>
      <c r="C97" s="6" t="str">
        <f>APPRENANTS!D97</f>
        <v>Améliorer l'efficacité de sa TPE à l'aide de l'IA</v>
      </c>
      <c r="D97" s="6" t="str">
        <f>APPRENANTS!C97</f>
        <v>Brian</v>
      </c>
      <c r="E97" s="6" t="str">
        <f>APPRENANTS!F97</f>
        <v>2026-06-13</v>
      </c>
      <c r="F97" s="9">
        <f t="shared" si="2"/>
        <v>46221</v>
      </c>
      <c r="G97" s="6" t="str">
        <f>APPRENANTS!G97</f>
        <v>FACTURE</v>
      </c>
      <c r="H97" s="11">
        <v>0.0</v>
      </c>
      <c r="I97" s="11">
        <v>1500.0</v>
      </c>
      <c r="J97" s="6">
        <f>IF(APPRENANTS!Y97="Oui",IF(H97&gt;0,825,750),0)</f>
        <v>750</v>
      </c>
      <c r="K97" s="11" t="s">
        <v>68</v>
      </c>
      <c r="L97" s="6" t="str">
        <f>IF(APPRENANTS!Y97="Non","Inscription non confirmee",IF(K97="Oui","Payee",IF(F97="","",IF(TODAY()&gt;=F97,"En retard - a verser","A venir"))))</f>
        <v>En retard - a verser</v>
      </c>
      <c r="M97" s="6" t="str">
        <f t="shared" si="3"/>
        <v>juillet 2026</v>
      </c>
      <c r="N97" s="6" t="str">
        <f>APPRENANTS!Y97</f>
        <v>Oui</v>
      </c>
      <c r="O97" s="6">
        <f t="shared" ref="O97:P97" si="98">IF($N97="Oui",I97,0)</f>
        <v>1500</v>
      </c>
      <c r="P97" s="6">
        <f t="shared" si="98"/>
        <v>750</v>
      </c>
    </row>
    <row r="98" ht="15.0" customHeight="1">
      <c r="A98" s="6" t="str">
        <f>APPRENANTS!A98</f>
        <v>Proskills Institut</v>
      </c>
      <c r="B98" s="6" t="str">
        <f>APPRENANTS!B98</f>
        <v>HUGARD Jose</v>
      </c>
      <c r="C98" s="6" t="str">
        <f>APPRENANTS!D98</f>
        <v>Communiquer sur les réseaux sociaux pour promouvoir sa TPE</v>
      </c>
      <c r="D98" s="6" t="str">
        <f>APPRENANTS!C98</f>
        <v>Brian</v>
      </c>
      <c r="E98" s="6" t="str">
        <f>APPRENANTS!F98</f>
        <v>2026-05-30</v>
      </c>
      <c r="F98" s="9">
        <f t="shared" si="2"/>
        <v>46207</v>
      </c>
      <c r="G98" s="6" t="str">
        <f>APPRENANTS!G98</f>
        <v>payé</v>
      </c>
      <c r="H98" s="11">
        <v>0.0</v>
      </c>
      <c r="I98" s="11">
        <v>1500.0</v>
      </c>
      <c r="J98" s="6">
        <f>IF(APPRENANTS!Y98="Oui",IF(H98&gt;0,825,750),0)</f>
        <v>750</v>
      </c>
      <c r="K98" s="11" t="s">
        <v>68</v>
      </c>
      <c r="L98" s="6" t="str">
        <f>IF(APPRENANTS!Y98="Non","Inscription non confirmee",IF(K98="Oui","Payee",IF(F98="","",IF(TODAY()&gt;=F98,"En retard - a verser","A venir"))))</f>
        <v>En retard - a verser</v>
      </c>
      <c r="M98" s="6" t="str">
        <f t="shared" si="3"/>
        <v>juillet 2026</v>
      </c>
      <c r="N98" s="6" t="str">
        <f>APPRENANTS!Y98</f>
        <v>Oui</v>
      </c>
      <c r="O98" s="6">
        <f t="shared" ref="O98:P98" si="99">IF($N98="Oui",I98,0)</f>
        <v>1500</v>
      </c>
      <c r="P98" s="6">
        <f t="shared" si="99"/>
        <v>750</v>
      </c>
    </row>
    <row r="99" ht="15.0" customHeight="1">
      <c r="A99" s="6" t="str">
        <f>APPRENANTS!A99</f>
        <v>Proskills Institut</v>
      </c>
      <c r="B99" s="6" t="str">
        <f>APPRENANTS!B99</f>
        <v>HUGARD Jose</v>
      </c>
      <c r="C99" s="6" t="str">
        <f>APPRENANTS!D99</f>
        <v>Réaliser les opérations comptables courantes d'une TPE</v>
      </c>
      <c r="D99" s="6" t="str">
        <f>APPRENANTS!C99</f>
        <v>Brian</v>
      </c>
      <c r="E99" s="6" t="str">
        <f>APPRENANTS!F99</f>
        <v>2026-06-05</v>
      </c>
      <c r="F99" s="9">
        <f t="shared" si="2"/>
        <v>46213</v>
      </c>
      <c r="G99" s="6" t="str">
        <f>APPRENANTS!G99</f>
        <v>FACTURE</v>
      </c>
      <c r="H99" s="11">
        <v>0.0</v>
      </c>
      <c r="I99" s="11">
        <v>1500.0</v>
      </c>
      <c r="J99" s="6">
        <f>IF(APPRENANTS!Y99="Oui",IF(H99&gt;0,825,750),0)</f>
        <v>750</v>
      </c>
      <c r="K99" s="11" t="s">
        <v>68</v>
      </c>
      <c r="L99" s="6" t="str">
        <f>IF(APPRENANTS!Y99="Non","Inscription non confirmee",IF(K99="Oui","Payee",IF(F99="","",IF(TODAY()&gt;=F99,"En retard - a verser","A venir"))))</f>
        <v>En retard - a verser</v>
      </c>
      <c r="M99" s="6" t="str">
        <f t="shared" si="3"/>
        <v>juillet 2026</v>
      </c>
      <c r="N99" s="6" t="str">
        <f>APPRENANTS!Y99</f>
        <v>Oui</v>
      </c>
      <c r="O99" s="6">
        <f t="shared" ref="O99:P99" si="100">IF($N99="Oui",I99,0)</f>
        <v>1500</v>
      </c>
      <c r="P99" s="6">
        <f t="shared" si="100"/>
        <v>750</v>
      </c>
    </row>
    <row r="100" ht="15.0" customHeight="1">
      <c r="A100" s="6" t="str">
        <f>APPRENANTS!A100</f>
        <v>Proskills Institut</v>
      </c>
      <c r="B100" s="6" t="str">
        <f>APPRENANTS!B100</f>
        <v>GILLY Laurent</v>
      </c>
      <c r="C100" s="6" t="str">
        <f>APPRENANTS!D100</f>
        <v>Améliorer l'efficacité de sa TPE à l'aide de l'IA</v>
      </c>
      <c r="D100" s="6" t="str">
        <f>APPRENANTS!C100</f>
        <v>Jules</v>
      </c>
      <c r="E100" s="6" t="str">
        <f>APPRENANTS!F100</f>
        <v>2026-06-13</v>
      </c>
      <c r="F100" s="9">
        <f t="shared" si="2"/>
        <v>46221</v>
      </c>
      <c r="G100" s="6" t="str">
        <f>APPRENANTS!G100</f>
        <v>FACTURE</v>
      </c>
      <c r="H100" s="11">
        <v>0.0</v>
      </c>
      <c r="I100" s="11">
        <v>1500.0</v>
      </c>
      <c r="J100" s="6">
        <f>IF(APPRENANTS!Y100="Oui",IF(H100&gt;0,825,750),0)</f>
        <v>750</v>
      </c>
      <c r="K100" s="11" t="s">
        <v>68</v>
      </c>
      <c r="L100" s="6" t="str">
        <f>IF(APPRENANTS!Y100="Non","Inscription non confirmee",IF(K100="Oui","Payee",IF(F100="","",IF(TODAY()&gt;=F100,"En retard - a verser","A venir"))))</f>
        <v>En retard - a verser</v>
      </c>
      <c r="M100" s="6" t="str">
        <f t="shared" si="3"/>
        <v>juillet 2026</v>
      </c>
      <c r="N100" s="6" t="str">
        <f>APPRENANTS!Y100</f>
        <v>Oui</v>
      </c>
      <c r="O100" s="6">
        <f t="shared" ref="O100:P100" si="101">IF($N100="Oui",I100,0)</f>
        <v>1500</v>
      </c>
      <c r="P100" s="6">
        <f t="shared" si="101"/>
        <v>750</v>
      </c>
    </row>
    <row r="101" ht="15.0" customHeight="1">
      <c r="A101" s="6" t="str">
        <f>APPRENANTS!A101</f>
        <v>Proskills Institut</v>
      </c>
      <c r="B101" s="6" t="str">
        <f>APPRENANTS!B101</f>
        <v>GILLY Laurent</v>
      </c>
      <c r="C101" s="6" t="str">
        <f>APPRENANTS!D101</f>
        <v>Communiquer sur les réseaux sociaux pour promouvoir sa TPE</v>
      </c>
      <c r="D101" s="6" t="str">
        <f>APPRENANTS!C101</f>
        <v>Jules</v>
      </c>
      <c r="E101" s="6" t="str">
        <f>APPRENANTS!F101</f>
        <v>2026-05-30</v>
      </c>
      <c r="F101" s="9">
        <f t="shared" si="2"/>
        <v>46207</v>
      </c>
      <c r="G101" s="6" t="str">
        <f>APPRENANTS!G101</f>
        <v>payé</v>
      </c>
      <c r="H101" s="11">
        <v>0.0</v>
      </c>
      <c r="I101" s="11">
        <v>1500.0</v>
      </c>
      <c r="J101" s="6">
        <f>IF(APPRENANTS!Y101="Oui",IF(H101&gt;0,825,750),0)</f>
        <v>750</v>
      </c>
      <c r="K101" s="11" t="s">
        <v>68</v>
      </c>
      <c r="L101" s="6" t="str">
        <f>IF(APPRENANTS!Y101="Non","Inscription non confirmee",IF(K101="Oui","Payee",IF(F101="","",IF(TODAY()&gt;=F101,"En retard - a verser","A venir"))))</f>
        <v>En retard - a verser</v>
      </c>
      <c r="M101" s="6" t="str">
        <f t="shared" si="3"/>
        <v>juillet 2026</v>
      </c>
      <c r="N101" s="6" t="str">
        <f>APPRENANTS!Y101</f>
        <v>Oui</v>
      </c>
      <c r="O101" s="6">
        <f t="shared" ref="O101:P101" si="102">IF($N101="Oui",I101,0)</f>
        <v>1500</v>
      </c>
      <c r="P101" s="6">
        <f t="shared" si="102"/>
        <v>750</v>
      </c>
    </row>
    <row r="102" ht="15.0" customHeight="1">
      <c r="A102" s="6" t="str">
        <f>APPRENANTS!A102</f>
        <v>Proskills Institut</v>
      </c>
      <c r="B102" s="6" t="str">
        <f>APPRENANTS!B102</f>
        <v>Mona Bahar</v>
      </c>
      <c r="C102" s="6" t="str">
        <f>APPRENANTS!D102</f>
        <v>Développer son activité avec l'intelligence artificielle</v>
      </c>
      <c r="D102" s="6" t="str">
        <f>APPRENANTS!C102</f>
        <v>frere karim</v>
      </c>
      <c r="E102" s="6" t="str">
        <f>APPRENANTS!F102</f>
        <v>2026-06-05</v>
      </c>
      <c r="F102" s="9">
        <f t="shared" si="2"/>
        <v>46213</v>
      </c>
      <c r="G102" s="6" t="str">
        <f>APPRENANTS!G102</f>
        <v>payé</v>
      </c>
      <c r="H102" s="11">
        <v>0.0</v>
      </c>
      <c r="I102" s="11">
        <v>1500.0</v>
      </c>
      <c r="J102" s="6">
        <f>IF(APPRENANTS!Y102="Oui",IF(H102&gt;0,825,750),0)</f>
        <v>750</v>
      </c>
      <c r="K102" s="11" t="s">
        <v>68</v>
      </c>
      <c r="L102" s="6" t="str">
        <f>IF(APPRENANTS!Y102="Non","Inscription non confirmee",IF(K102="Oui","Payee",IF(F102="","",IF(TODAY()&gt;=F102,"En retard - a verser","A venir"))))</f>
        <v>En retard - a verser</v>
      </c>
      <c r="M102" s="6" t="str">
        <f t="shared" si="3"/>
        <v>juillet 2026</v>
      </c>
      <c r="N102" s="6" t="str">
        <f>APPRENANTS!Y102</f>
        <v>Oui</v>
      </c>
      <c r="O102" s="6">
        <f t="shared" ref="O102:P102" si="103">IF($N102="Oui",I102,0)</f>
        <v>1500</v>
      </c>
      <c r="P102" s="6">
        <f t="shared" si="103"/>
        <v>750</v>
      </c>
    </row>
    <row r="103" ht="15.0" customHeight="1">
      <c r="A103" s="6" t="str">
        <f>APPRENANTS!A103</f>
        <v>Proskills Institut</v>
      </c>
      <c r="B103" s="6" t="str">
        <f>APPRENANTS!B103</f>
        <v>REIG Stephane</v>
      </c>
      <c r="C103" s="6" t="str">
        <f>APPRENANTS!D103</f>
        <v>Améliorer l'efficacité de sa TPE à l'aide de l'IA</v>
      </c>
      <c r="D103" s="6" t="str">
        <f>APPRENANTS!C103</f>
        <v>GRAS</v>
      </c>
      <c r="E103" s="6" t="str">
        <f>APPRENANTS!F103</f>
        <v>2026-06-13</v>
      </c>
      <c r="F103" s="9">
        <f t="shared" si="2"/>
        <v>46221</v>
      </c>
      <c r="G103" s="6" t="str">
        <f>APPRENANTS!G103</f>
        <v>FACTURE</v>
      </c>
      <c r="H103" s="11">
        <v>0.0</v>
      </c>
      <c r="I103" s="11">
        <v>1500.0</v>
      </c>
      <c r="J103" s="6">
        <f>IF(APPRENANTS!Y103="Oui",IF(H103&gt;0,825,750),0)</f>
        <v>750</v>
      </c>
      <c r="K103" s="11" t="s">
        <v>68</v>
      </c>
      <c r="L103" s="6" t="str">
        <f>IF(APPRENANTS!Y103="Non","Inscription non confirmee",IF(K103="Oui","Payee",IF(F103="","",IF(TODAY()&gt;=F103,"En retard - a verser","A venir"))))</f>
        <v>En retard - a verser</v>
      </c>
      <c r="M103" s="6" t="str">
        <f t="shared" si="3"/>
        <v>juillet 2026</v>
      </c>
      <c r="N103" s="6" t="str">
        <f>APPRENANTS!Y103</f>
        <v>Oui</v>
      </c>
      <c r="O103" s="6">
        <f t="shared" ref="O103:P103" si="104">IF($N103="Oui",I103,0)</f>
        <v>1500</v>
      </c>
      <c r="P103" s="6">
        <f t="shared" si="104"/>
        <v>750</v>
      </c>
    </row>
    <row r="104" ht="15.0" customHeight="1">
      <c r="A104" s="6" t="str">
        <f>APPRENANTS!A104</f>
        <v>Proskills Institut</v>
      </c>
      <c r="B104" s="6" t="str">
        <f>APPRENANTS!B104</f>
        <v>REIG Stephane</v>
      </c>
      <c r="C104" s="6" t="str">
        <f>APPRENANTS!D104</f>
        <v>Communiquer sur les réseaux sociaux pour promouvoir sa TPE</v>
      </c>
      <c r="D104" s="6" t="str">
        <f>APPRENANTS!C104</f>
        <v>GRAS</v>
      </c>
      <c r="E104" s="6" t="str">
        <f>APPRENANTS!F104</f>
        <v>2026-06-20</v>
      </c>
      <c r="F104" s="9">
        <f t="shared" si="2"/>
        <v>46228</v>
      </c>
      <c r="G104" s="6" t="str">
        <f>APPRENANTS!G104</f>
        <v>FACTURE</v>
      </c>
      <c r="H104" s="11">
        <v>0.0</v>
      </c>
      <c r="I104" s="11">
        <v>1500.0</v>
      </c>
      <c r="J104" s="6">
        <f>IF(APPRENANTS!Y104="Oui",IF(H104&gt;0,825,750),0)</f>
        <v>750</v>
      </c>
      <c r="K104" s="11" t="s">
        <v>68</v>
      </c>
      <c r="L104" s="6" t="str">
        <f>IF(APPRENANTS!Y104="Non","Inscription non confirmee",IF(K104="Oui","Payee",IF(F104="","",IF(TODAY()&gt;=F104,"En retard - a verser","A venir"))))</f>
        <v>A venir</v>
      </c>
      <c r="M104" s="6" t="str">
        <f t="shared" si="3"/>
        <v>juillet 2026</v>
      </c>
      <c r="N104" s="6" t="str">
        <f>APPRENANTS!Y104</f>
        <v>Oui</v>
      </c>
      <c r="O104" s="6">
        <f t="shared" ref="O104:P104" si="105">IF($N104="Oui",I104,0)</f>
        <v>1500</v>
      </c>
      <c r="P104" s="6">
        <f t="shared" si="105"/>
        <v>750</v>
      </c>
    </row>
    <row r="105" ht="15.0" customHeight="1">
      <c r="A105" s="6" t="str">
        <f>APPRENANTS!A105</f>
        <v>Proskills Institut</v>
      </c>
      <c r="B105" s="6" t="str">
        <f>APPRENANTS!B105</f>
        <v>BAHAR Achraf</v>
      </c>
      <c r="C105" s="6" t="str">
        <f>APPRENANTS!D105</f>
        <v>Améliorer l'efficacité de sa TPE à l'aide de l'IA</v>
      </c>
      <c r="D105" s="6" t="str">
        <f>APPRENANTS!C105</f>
        <v>frere karim</v>
      </c>
      <c r="E105" s="6" t="str">
        <f>APPRENANTS!F105</f>
        <v>2026-06-13</v>
      </c>
      <c r="F105" s="9">
        <f t="shared" si="2"/>
        <v>46221</v>
      </c>
      <c r="G105" s="6" t="str">
        <f>APPRENANTS!G105</f>
        <v>FACTURE</v>
      </c>
      <c r="H105" s="11">
        <v>0.0</v>
      </c>
      <c r="I105" s="11">
        <v>1500.0</v>
      </c>
      <c r="J105" s="6">
        <f>IF(APPRENANTS!Y105="Oui",IF(H105&gt;0,825,750),0)</f>
        <v>750</v>
      </c>
      <c r="K105" s="11" t="s">
        <v>68</v>
      </c>
      <c r="L105" s="6" t="str">
        <f>IF(APPRENANTS!Y105="Non","Inscription non confirmee",IF(K105="Oui","Payee",IF(F105="","",IF(TODAY()&gt;=F105,"En retard - a verser","A venir"))))</f>
        <v>En retard - a verser</v>
      </c>
      <c r="M105" s="6" t="str">
        <f t="shared" si="3"/>
        <v>juillet 2026</v>
      </c>
      <c r="N105" s="6" t="str">
        <f>APPRENANTS!Y105</f>
        <v>Oui</v>
      </c>
      <c r="O105" s="6">
        <f t="shared" ref="O105:P105" si="106">IF($N105="Oui",I105,0)</f>
        <v>1500</v>
      </c>
      <c r="P105" s="6">
        <f t="shared" si="106"/>
        <v>750</v>
      </c>
    </row>
    <row r="106" ht="15.0" customHeight="1">
      <c r="A106" s="6" t="str">
        <f>APPRENANTS!A106</f>
        <v>Proskills Institut</v>
      </c>
      <c r="B106" s="6" t="str">
        <f>APPRENANTS!B106</f>
        <v>BAHAR Achraf</v>
      </c>
      <c r="C106" s="6" t="str">
        <f>APPRENANTS!D106</f>
        <v>Communiquer sur les réseaux sociaux pour promouvoir sa TPE</v>
      </c>
      <c r="D106" s="6" t="str">
        <f>APPRENANTS!C106</f>
        <v>frere karim</v>
      </c>
      <c r="E106" s="6" t="str">
        <f>APPRENANTS!F106</f>
        <v>2026-06-20</v>
      </c>
      <c r="F106" s="9">
        <f t="shared" si="2"/>
        <v>46228</v>
      </c>
      <c r="G106" s="6" t="str">
        <f>APPRENANTS!G106</f>
        <v>FACTURE</v>
      </c>
      <c r="H106" s="11">
        <v>0.0</v>
      </c>
      <c r="I106" s="11">
        <v>1500.0</v>
      </c>
      <c r="J106" s="6">
        <f>IF(APPRENANTS!Y106="Oui",IF(H106&gt;0,825,750),0)</f>
        <v>750</v>
      </c>
      <c r="K106" s="11" t="s">
        <v>68</v>
      </c>
      <c r="L106" s="6" t="str">
        <f>IF(APPRENANTS!Y106="Non","Inscription non confirmee",IF(K106="Oui","Payee",IF(F106="","",IF(TODAY()&gt;=F106,"En retard - a verser","A venir"))))</f>
        <v>A venir</v>
      </c>
      <c r="M106" s="6" t="str">
        <f t="shared" si="3"/>
        <v>juillet 2026</v>
      </c>
      <c r="N106" s="6" t="str">
        <f>APPRENANTS!Y106</f>
        <v>Oui</v>
      </c>
      <c r="O106" s="6">
        <f t="shared" ref="O106:P106" si="107">IF($N106="Oui",I106,0)</f>
        <v>1500</v>
      </c>
      <c r="P106" s="6">
        <f t="shared" si="107"/>
        <v>750</v>
      </c>
    </row>
    <row r="107" ht="15.0" customHeight="1">
      <c r="A107" s="6" t="str">
        <f>APPRENANTS!A107</f>
        <v>Proskills Institut</v>
      </c>
      <c r="B107" s="6" t="str">
        <f>APPRENANTS!B107</f>
        <v>LAREF Faouzi</v>
      </c>
      <c r="C107" s="6" t="str">
        <f>APPRENANTS!D107</f>
        <v>Améliorer l'efficacité de sa TPE à l'aide de l'IA</v>
      </c>
      <c r="D107" s="6" t="str">
        <f>APPRENANTS!C107</f>
        <v>Nedjma</v>
      </c>
      <c r="E107" s="6" t="str">
        <f>APPRENANTS!F107</f>
        <v>2026-06-13</v>
      </c>
      <c r="F107" s="9">
        <f t="shared" si="2"/>
        <v>46221</v>
      </c>
      <c r="G107" s="6" t="str">
        <f>APPRENANTS!G107</f>
        <v>FACTURE</v>
      </c>
      <c r="H107" s="11">
        <v>0.0</v>
      </c>
      <c r="I107" s="11">
        <v>1500.0</v>
      </c>
      <c r="J107" s="6">
        <f>IF(APPRENANTS!Y107="Oui",IF(H107&gt;0,825,750),0)</f>
        <v>750</v>
      </c>
      <c r="K107" s="11" t="s">
        <v>68</v>
      </c>
      <c r="L107" s="6" t="str">
        <f>IF(APPRENANTS!Y107="Non","Inscription non confirmee",IF(K107="Oui","Payee",IF(F107="","",IF(TODAY()&gt;=F107,"En retard - a verser","A venir"))))</f>
        <v>En retard - a verser</v>
      </c>
      <c r="M107" s="6" t="str">
        <f t="shared" si="3"/>
        <v>juillet 2026</v>
      </c>
      <c r="N107" s="6" t="str">
        <f>APPRENANTS!Y107</f>
        <v>Oui</v>
      </c>
      <c r="O107" s="6">
        <f t="shared" ref="O107:P107" si="108">IF($N107="Oui",I107,0)</f>
        <v>1500</v>
      </c>
      <c r="P107" s="6">
        <f t="shared" si="108"/>
        <v>750</v>
      </c>
    </row>
    <row r="108" ht="15.0" customHeight="1">
      <c r="A108" s="6" t="str">
        <f>APPRENANTS!A108</f>
        <v>Proskills Institut</v>
      </c>
      <c r="B108" s="6" t="str">
        <f>APPRENANTS!B108</f>
        <v>LAREF Faouzi</v>
      </c>
      <c r="C108" s="6" t="str">
        <f>APPRENANTS!D108</f>
        <v>Communiquer sur les réseaux sociaux pour promouvoir sa TPE</v>
      </c>
      <c r="D108" s="6" t="str">
        <f>APPRENANTS!C108</f>
        <v>Nedjma</v>
      </c>
      <c r="E108" s="6" t="str">
        <f>APPRENANTS!F108</f>
        <v>2026-06-20</v>
      </c>
      <c r="F108" s="9">
        <f t="shared" si="2"/>
        <v>46228</v>
      </c>
      <c r="G108" s="6" t="str">
        <f>APPRENANTS!G108</f>
        <v>FACTURE</v>
      </c>
      <c r="H108" s="11">
        <v>0.0</v>
      </c>
      <c r="I108" s="11">
        <v>1500.0</v>
      </c>
      <c r="J108" s="6">
        <f>IF(APPRENANTS!Y108="Oui",IF(H108&gt;0,825,750),0)</f>
        <v>750</v>
      </c>
      <c r="K108" s="11" t="s">
        <v>68</v>
      </c>
      <c r="L108" s="6" t="str">
        <f>IF(APPRENANTS!Y108="Non","Inscription non confirmee",IF(K108="Oui","Payee",IF(F108="","",IF(TODAY()&gt;=F108,"En retard - a verser","A venir"))))</f>
        <v>A venir</v>
      </c>
      <c r="M108" s="6" t="str">
        <f t="shared" si="3"/>
        <v>juillet 2026</v>
      </c>
      <c r="N108" s="6" t="str">
        <f>APPRENANTS!Y108</f>
        <v>Oui</v>
      </c>
      <c r="O108" s="6">
        <f t="shared" ref="O108:P108" si="109">IF($N108="Oui",I108,0)</f>
        <v>1500</v>
      </c>
      <c r="P108" s="6">
        <f t="shared" si="109"/>
        <v>750</v>
      </c>
    </row>
    <row r="109" ht="15.0" customHeight="1">
      <c r="A109" s="6" t="str">
        <f>APPRENANTS!A109</f>
        <v>Proskills Institut</v>
      </c>
      <c r="B109" s="6" t="str">
        <f>APPRENANTS!B109</f>
        <v>LAREF Faouzi</v>
      </c>
      <c r="C109" s="6" t="str">
        <f>APPRENANTS!D109</f>
        <v>Réaliser les opérations comptables courantes d'une TPE</v>
      </c>
      <c r="D109" s="6" t="str">
        <f>APPRENANTS!C109</f>
        <v>Nedjma</v>
      </c>
      <c r="E109" s="6" t="str">
        <f>APPRENANTS!F109</f>
        <v>2026-06-05</v>
      </c>
      <c r="F109" s="9">
        <f t="shared" si="2"/>
        <v>46213</v>
      </c>
      <c r="G109" s="6" t="str">
        <f>APPRENANTS!G109</f>
        <v>FACTURE</v>
      </c>
      <c r="H109" s="11">
        <v>0.0</v>
      </c>
      <c r="I109" s="11">
        <v>1500.0</v>
      </c>
      <c r="J109" s="6">
        <f>IF(APPRENANTS!Y109="Oui",IF(H109&gt;0,825,750),0)</f>
        <v>750</v>
      </c>
      <c r="K109" s="11" t="s">
        <v>68</v>
      </c>
      <c r="L109" s="6" t="str">
        <f>IF(APPRENANTS!Y109="Non","Inscription non confirmee",IF(K109="Oui","Payee",IF(F109="","",IF(TODAY()&gt;=F109,"En retard - a verser","A venir"))))</f>
        <v>En retard - a verser</v>
      </c>
      <c r="M109" s="6" t="str">
        <f t="shared" si="3"/>
        <v>juillet 2026</v>
      </c>
      <c r="N109" s="6" t="str">
        <f>APPRENANTS!Y109</f>
        <v>Oui</v>
      </c>
      <c r="O109" s="6">
        <f t="shared" ref="O109:P109" si="110">IF($N109="Oui",I109,0)</f>
        <v>1500</v>
      </c>
      <c r="P109" s="6">
        <f t="shared" si="110"/>
        <v>750</v>
      </c>
    </row>
    <row r="110" ht="15.0" customHeight="1">
      <c r="A110" s="6" t="str">
        <f>APPRENANTS!A110</f>
        <v>Proskills Institut</v>
      </c>
      <c r="B110" s="6" t="str">
        <f>APPRENANTS!B110</f>
        <v>SCHIANCHI Emmanuel</v>
      </c>
      <c r="C110" s="6" t="str">
        <f>APPRENANTS!D110</f>
        <v>Améliorer l'efficacité de sa TPE à l'aide de l'IA</v>
      </c>
      <c r="D110" s="6" t="str">
        <f>APPRENANTS!C110</f>
        <v>Djody</v>
      </c>
      <c r="E110" s="6" t="str">
        <f>APPRENANTS!F110</f>
        <v>2026-06-13</v>
      </c>
      <c r="F110" s="9">
        <f t="shared" si="2"/>
        <v>46221</v>
      </c>
      <c r="G110" s="6" t="str">
        <f>APPRENANTS!G110</f>
        <v>FACTURE</v>
      </c>
      <c r="H110" s="11">
        <v>0.0</v>
      </c>
      <c r="I110" s="11">
        <v>1500.0</v>
      </c>
      <c r="J110" s="6">
        <f>IF(APPRENANTS!Y110="Oui",IF(H110&gt;0,825,750),0)</f>
        <v>750</v>
      </c>
      <c r="K110" s="11" t="s">
        <v>68</v>
      </c>
      <c r="L110" s="6" t="str">
        <f>IF(APPRENANTS!Y110="Non","Inscription non confirmee",IF(K110="Oui","Payee",IF(F110="","",IF(TODAY()&gt;=F110,"En retard - a verser","A venir"))))</f>
        <v>En retard - a verser</v>
      </c>
      <c r="M110" s="6" t="str">
        <f t="shared" si="3"/>
        <v>juillet 2026</v>
      </c>
      <c r="N110" s="6" t="str">
        <f>APPRENANTS!Y110</f>
        <v>Oui</v>
      </c>
      <c r="O110" s="6">
        <f t="shared" ref="O110:P110" si="111">IF($N110="Oui",I110,0)</f>
        <v>1500</v>
      </c>
      <c r="P110" s="6">
        <f t="shared" si="111"/>
        <v>750</v>
      </c>
    </row>
    <row r="111" ht="15.0" customHeight="1">
      <c r="A111" s="6" t="str">
        <f>APPRENANTS!A111</f>
        <v>Proskills Institut</v>
      </c>
      <c r="B111" s="6" t="str">
        <f>APPRENANTS!B111</f>
        <v>SCHIANCHI Emmanuel</v>
      </c>
      <c r="C111" s="6" t="str">
        <f>APPRENANTS!D111</f>
        <v>Communiquer sur les réseaux sociaux pour promouvoir sa TPE</v>
      </c>
      <c r="D111" s="6" t="str">
        <f>APPRENANTS!C111</f>
        <v>Djody</v>
      </c>
      <c r="E111" s="6" t="str">
        <f>APPRENANTS!F111</f>
        <v>2026-06-20</v>
      </c>
      <c r="F111" s="9">
        <f t="shared" si="2"/>
        <v>46228</v>
      </c>
      <c r="G111" s="6" t="str">
        <f>APPRENANTS!G111</f>
        <v>FACTURE</v>
      </c>
      <c r="H111" s="11">
        <v>0.0</v>
      </c>
      <c r="I111" s="11">
        <v>1500.0</v>
      </c>
      <c r="J111" s="6">
        <f>IF(APPRENANTS!Y111="Oui",IF(H111&gt;0,825,750),0)</f>
        <v>750</v>
      </c>
      <c r="K111" s="11" t="s">
        <v>68</v>
      </c>
      <c r="L111" s="6" t="str">
        <f>IF(APPRENANTS!Y111="Non","Inscription non confirmee",IF(K111="Oui","Payee",IF(F111="","",IF(TODAY()&gt;=F111,"En retard - a verser","A venir"))))</f>
        <v>A venir</v>
      </c>
      <c r="M111" s="6" t="str">
        <f t="shared" si="3"/>
        <v>juillet 2026</v>
      </c>
      <c r="N111" s="6" t="str">
        <f>APPRENANTS!Y111</f>
        <v>Oui</v>
      </c>
      <c r="O111" s="6">
        <f t="shared" ref="O111:P111" si="112">IF($N111="Oui",I111,0)</f>
        <v>1500</v>
      </c>
      <c r="P111" s="6">
        <f t="shared" si="112"/>
        <v>750</v>
      </c>
    </row>
    <row r="112" ht="15.0" customHeight="1">
      <c r="A112" s="6" t="str">
        <f>APPRENANTS!A112</f>
        <v>Proskills Institut</v>
      </c>
      <c r="B112" s="6" t="str">
        <f>APPRENANTS!B112</f>
        <v>SCHIANCHI Emmanuel</v>
      </c>
      <c r="C112" s="6" t="str">
        <f>APPRENANTS!D112</f>
        <v>Réaliser les opérations comptables courantes d'une TPE</v>
      </c>
      <c r="D112" s="6" t="str">
        <f>APPRENANTS!C112</f>
        <v>Djody</v>
      </c>
      <c r="E112" s="6" t="str">
        <f>APPRENANTS!F112</f>
        <v>2026-06-05</v>
      </c>
      <c r="F112" s="9">
        <f t="shared" si="2"/>
        <v>46213</v>
      </c>
      <c r="G112" s="6" t="str">
        <f>APPRENANTS!G112</f>
        <v>FACTURE</v>
      </c>
      <c r="H112" s="11">
        <v>0.0</v>
      </c>
      <c r="I112" s="11">
        <v>1500.0</v>
      </c>
      <c r="J112" s="6">
        <f>IF(APPRENANTS!Y112="Oui",IF(H112&gt;0,825,750),0)</f>
        <v>750</v>
      </c>
      <c r="K112" s="11" t="s">
        <v>68</v>
      </c>
      <c r="L112" s="6" t="str">
        <f>IF(APPRENANTS!Y112="Non","Inscription non confirmee",IF(K112="Oui","Payee",IF(F112="","",IF(TODAY()&gt;=F112,"En retard - a verser","A venir"))))</f>
        <v>En retard - a verser</v>
      </c>
      <c r="M112" s="6" t="str">
        <f t="shared" si="3"/>
        <v>juillet 2026</v>
      </c>
      <c r="N112" s="6" t="str">
        <f>APPRENANTS!Y112</f>
        <v>Oui</v>
      </c>
      <c r="O112" s="6">
        <f t="shared" ref="O112:P112" si="113">IF($N112="Oui",I112,0)</f>
        <v>1500</v>
      </c>
      <c r="P112" s="6">
        <f t="shared" si="113"/>
        <v>750</v>
      </c>
    </row>
    <row r="113" ht="15.0" customHeight="1">
      <c r="A113" s="6" t="str">
        <f>APPRENANTS!A113</f>
        <v>Proskills Institut</v>
      </c>
      <c r="B113" s="6" t="str">
        <f>APPRENANTS!B113</f>
        <v>Yasmina Bessa</v>
      </c>
      <c r="C113" s="6" t="str">
        <f>APPRENANTS!D113</f>
        <v>Améliorer l'efficacité de sa TPE à l'aide de l'IA</v>
      </c>
      <c r="D113" s="6" t="str">
        <f>APPRENANTS!C113</f>
        <v>Jean</v>
      </c>
      <c r="E113" s="6" t="str">
        <f>APPRENANTS!F113</f>
        <v>2026-06-20</v>
      </c>
      <c r="F113" s="9">
        <f t="shared" si="2"/>
        <v>46228</v>
      </c>
      <c r="G113" s="6" t="str">
        <f>APPRENANTS!G113</f>
        <v>FACTURE</v>
      </c>
      <c r="H113" s="11">
        <v>0.0</v>
      </c>
      <c r="I113" s="11">
        <v>1500.0</v>
      </c>
      <c r="J113" s="6">
        <f>IF(APPRENANTS!Y113="Oui",IF(H113&gt;0,825,750),0)</f>
        <v>750</v>
      </c>
      <c r="K113" s="11" t="s">
        <v>68</v>
      </c>
      <c r="L113" s="6" t="str">
        <f>IF(APPRENANTS!Y113="Non","Inscription non confirmee",IF(K113="Oui","Payee",IF(F113="","",IF(TODAY()&gt;=F113,"En retard - a verser","A venir"))))</f>
        <v>A venir</v>
      </c>
      <c r="M113" s="6" t="str">
        <f t="shared" si="3"/>
        <v>juillet 2026</v>
      </c>
      <c r="N113" s="6" t="str">
        <f>APPRENANTS!Y113</f>
        <v>Oui</v>
      </c>
      <c r="O113" s="6">
        <f t="shared" ref="O113:P113" si="114">IF($N113="Oui",I113,0)</f>
        <v>1500</v>
      </c>
      <c r="P113" s="6">
        <f t="shared" si="114"/>
        <v>750</v>
      </c>
    </row>
    <row r="114" ht="15.0" customHeight="1">
      <c r="A114" s="6" t="str">
        <f>APPRENANTS!A114</f>
        <v>Proskills Institut</v>
      </c>
      <c r="B114" s="6" t="str">
        <f>APPRENANTS!B114</f>
        <v>Yasmina Bessa</v>
      </c>
      <c r="C114" s="6" t="str">
        <f>APPRENANTS!D114</f>
        <v>Communiquer sur les réseaux sociaux pour promouvoir sa TPE</v>
      </c>
      <c r="D114" s="6" t="str">
        <f>APPRENANTS!C114</f>
        <v>Jean</v>
      </c>
      <c r="E114" s="6" t="str">
        <f>APPRENANTS!F114</f>
        <v>2026-07-04</v>
      </c>
      <c r="F114" s="9">
        <f t="shared" si="2"/>
        <v>46242</v>
      </c>
      <c r="G114" s="6" t="str">
        <f>APPRENANTS!G114</f>
        <v>FACTURE</v>
      </c>
      <c r="H114" s="11">
        <v>0.0</v>
      </c>
      <c r="I114" s="11">
        <v>1500.0</v>
      </c>
      <c r="J114" s="6">
        <f>IF(APPRENANTS!Y114="Oui",IF(H114&gt;0,825,750),0)</f>
        <v>750</v>
      </c>
      <c r="K114" s="11" t="s">
        <v>68</v>
      </c>
      <c r="L114" s="6" t="str">
        <f>IF(APPRENANTS!Y114="Non","Inscription non confirmee",IF(K114="Oui","Payee",IF(F114="","",IF(TODAY()&gt;=F114,"En retard - a verser","A venir"))))</f>
        <v>A venir</v>
      </c>
      <c r="M114" s="6" t="str">
        <f t="shared" si="3"/>
        <v>aout 2026</v>
      </c>
      <c r="N114" s="6" t="str">
        <f>APPRENANTS!Y114</f>
        <v>Oui</v>
      </c>
      <c r="O114" s="6">
        <f t="shared" ref="O114:P114" si="115">IF($N114="Oui",I114,0)</f>
        <v>1500</v>
      </c>
      <c r="P114" s="6">
        <f t="shared" si="115"/>
        <v>750</v>
      </c>
    </row>
    <row r="115" ht="15.0" customHeight="1">
      <c r="A115" s="6" t="str">
        <f>APPRENANTS!A115</f>
        <v>Proskills Institut</v>
      </c>
      <c r="B115" s="6" t="str">
        <f>APPRENANTS!B115</f>
        <v>Lyess Mohamed</v>
      </c>
      <c r="C115" s="6" t="str">
        <f>APPRENANTS!D115</f>
        <v>Développer son activité avec l'intelligence artificielle</v>
      </c>
      <c r="D115" s="6" t="str">
        <f>APPRENANTS!C115</f>
        <v>Jean</v>
      </c>
      <c r="E115" s="6" t="str">
        <f>APPRENANTS!F115</f>
        <v>2026-07-04</v>
      </c>
      <c r="F115" s="9">
        <f t="shared" si="2"/>
        <v>46242</v>
      </c>
      <c r="G115" s="6" t="str">
        <f>APPRENANTS!G115</f>
        <v>FACTURE</v>
      </c>
      <c r="H115" s="11">
        <v>0.0</v>
      </c>
      <c r="I115" s="11">
        <v>1500.0</v>
      </c>
      <c r="J115" s="6">
        <f>IF(APPRENANTS!Y115="Oui",IF(H115&gt;0,825,750),0)</f>
        <v>750</v>
      </c>
      <c r="K115" s="11" t="s">
        <v>68</v>
      </c>
      <c r="L115" s="6" t="str">
        <f>IF(APPRENANTS!Y115="Non","Inscription non confirmee",IF(K115="Oui","Payee",IF(F115="","",IF(TODAY()&gt;=F115,"En retard - a verser","A venir"))))</f>
        <v>A venir</v>
      </c>
      <c r="M115" s="6" t="str">
        <f t="shared" si="3"/>
        <v>aout 2026</v>
      </c>
      <c r="N115" s="6" t="str">
        <f>APPRENANTS!Y115</f>
        <v>Oui</v>
      </c>
      <c r="O115" s="6">
        <f t="shared" ref="O115:P115" si="116">IF($N115="Oui",I115,0)</f>
        <v>1500</v>
      </c>
      <c r="P115" s="6">
        <f t="shared" si="116"/>
        <v>750</v>
      </c>
    </row>
    <row r="116" ht="15.0" customHeight="1">
      <c r="A116" s="6" t="str">
        <f>APPRENANTS!A116</f>
        <v>Proskills Institut</v>
      </c>
      <c r="B116" s="6" t="str">
        <f>APPRENANTS!B116</f>
        <v>BASCUNANA Jean-Christophe</v>
      </c>
      <c r="C116" s="6" t="str">
        <f>APPRENANTS!D116</f>
        <v>Communiquer sur les réseaux sociaux pour promouvoir sa TPE</v>
      </c>
      <c r="D116" s="6" t="str">
        <f>APPRENANTS!C116</f>
        <v/>
      </c>
      <c r="E116" s="6" t="str">
        <f>APPRENANTS!F116</f>
        <v>2026-07-04</v>
      </c>
      <c r="F116" s="9">
        <f t="shared" si="2"/>
        <v>46242</v>
      </c>
      <c r="G116" s="6" t="str">
        <f>APPRENANTS!G116</f>
        <v>Accepté</v>
      </c>
      <c r="H116" s="11">
        <v>0.0</v>
      </c>
      <c r="I116" s="11">
        <v>1500.0</v>
      </c>
      <c r="J116" s="6">
        <f>IF(APPRENANTS!Y116="Oui",IF(H116&gt;0,825,750),0)</f>
        <v>750</v>
      </c>
      <c r="K116" s="11" t="s">
        <v>68</v>
      </c>
      <c r="L116" s="6" t="str">
        <f>IF(APPRENANTS!Y116="Non","Inscription non confirmee",IF(K116="Oui","Payee",IF(F116="","",IF(TODAY()&gt;=F116,"En retard - a verser","A venir"))))</f>
        <v>A venir</v>
      </c>
      <c r="M116" s="6" t="str">
        <f t="shared" si="3"/>
        <v>aout 2026</v>
      </c>
      <c r="N116" s="6" t="str">
        <f>APPRENANTS!Y116</f>
        <v>Oui</v>
      </c>
      <c r="O116" s="6">
        <f t="shared" ref="O116:P116" si="117">IF($N116="Oui",I116,0)</f>
        <v>1500</v>
      </c>
      <c r="P116" s="6">
        <f t="shared" si="117"/>
        <v>750</v>
      </c>
    </row>
    <row r="117" ht="15.0" customHeight="1">
      <c r="A117" s="6" t="str">
        <f>APPRENANTS!A117</f>
        <v>Proskills Institut</v>
      </c>
      <c r="B117" s="6" t="str">
        <f>APPRENANTS!B117</f>
        <v>BASCUNANA Jean-Christophe</v>
      </c>
      <c r="C117" s="6" t="str">
        <f>APPRENANTS!D117</f>
        <v>Améliorer l'efficacité de sa TPE à l'aide de l'IA</v>
      </c>
      <c r="D117" s="6" t="str">
        <f>APPRENANTS!C117</f>
        <v/>
      </c>
      <c r="E117" s="6" t="str">
        <f>APPRENANTS!F117</f>
        <v>2026-07-11</v>
      </c>
      <c r="F117" s="9">
        <f t="shared" si="2"/>
        <v>46249</v>
      </c>
      <c r="G117" s="6" t="str">
        <f>APPRENANTS!G117</f>
        <v>Accepté</v>
      </c>
      <c r="H117" s="11">
        <v>0.0</v>
      </c>
      <c r="I117" s="11">
        <v>1500.0</v>
      </c>
      <c r="J117" s="6">
        <f>IF(APPRENANTS!Y117="Oui",IF(H117&gt;0,825,750),0)</f>
        <v>750</v>
      </c>
      <c r="K117" s="11" t="s">
        <v>68</v>
      </c>
      <c r="L117" s="6" t="str">
        <f>IF(APPRENANTS!Y117="Non","Inscription non confirmee",IF(K117="Oui","Payee",IF(F117="","",IF(TODAY()&gt;=F117,"En retard - a verser","A venir"))))</f>
        <v>A venir</v>
      </c>
      <c r="M117" s="6" t="str">
        <f t="shared" si="3"/>
        <v>aout 2026</v>
      </c>
      <c r="N117" s="6" t="str">
        <f>APPRENANTS!Y117</f>
        <v>Oui</v>
      </c>
      <c r="O117" s="6">
        <f t="shared" ref="O117:P117" si="118">IF($N117="Oui",I117,0)</f>
        <v>1500</v>
      </c>
      <c r="P117" s="6">
        <f t="shared" si="118"/>
        <v>750</v>
      </c>
    </row>
    <row r="118" ht="15.0" customHeight="1">
      <c r="A118" s="6" t="str">
        <f>APPRENANTS!A118</f>
        <v>Proskills Institut</v>
      </c>
      <c r="B118" s="6" t="str">
        <f>APPRENANTS!B118</f>
        <v>BASCUNANA Jean-Christophe</v>
      </c>
      <c r="C118" s="6" t="str">
        <f>APPRENANTS!D118</f>
        <v>Réaliser les opérations comptables courantes d'une TPE</v>
      </c>
      <c r="D118" s="6" t="str">
        <f>APPRENANTS!C118</f>
        <v/>
      </c>
      <c r="E118" s="6" t="str">
        <f>APPRENANTS!F118</f>
        <v>2026-07-18</v>
      </c>
      <c r="F118" s="9">
        <f t="shared" si="2"/>
        <v>46256</v>
      </c>
      <c r="G118" s="6" t="str">
        <f>APPRENANTS!G118</f>
        <v>Accepté</v>
      </c>
      <c r="H118" s="11">
        <v>0.0</v>
      </c>
      <c r="I118" s="11">
        <v>1500.0</v>
      </c>
      <c r="J118" s="6">
        <f>IF(APPRENANTS!Y118="Oui",IF(H118&gt;0,825,750),0)</f>
        <v>750</v>
      </c>
      <c r="K118" s="11" t="s">
        <v>68</v>
      </c>
      <c r="L118" s="6" t="str">
        <f>IF(APPRENANTS!Y118="Non","Inscription non confirmee",IF(K118="Oui","Payee",IF(F118="","",IF(TODAY()&gt;=F118,"En retard - a verser","A venir"))))</f>
        <v>A venir</v>
      </c>
      <c r="M118" s="6" t="str">
        <f t="shared" si="3"/>
        <v>aout 2026</v>
      </c>
      <c r="N118" s="6" t="str">
        <f>APPRENANTS!Y118</f>
        <v>Oui</v>
      </c>
      <c r="O118" s="6">
        <f t="shared" ref="O118:P118" si="119">IF($N118="Oui",I118,0)</f>
        <v>1500</v>
      </c>
      <c r="P118" s="6">
        <f t="shared" si="119"/>
        <v>750</v>
      </c>
    </row>
    <row r="119" ht="15.0" customHeight="1">
      <c r="A119" s="6" t="str">
        <f>APPRENANTS!A119</f>
        <v>Proskills Institut</v>
      </c>
      <c r="B119" s="6" t="str">
        <f>APPRENANTS!B119</f>
        <v>BUIDIN Michael</v>
      </c>
      <c r="C119" s="6" t="str">
        <f>APPRENANTS!D119</f>
        <v>Communiquer sur les réseaux sociaux pour promouvoir sa TPE</v>
      </c>
      <c r="D119" s="6" t="str">
        <f>APPRENANTS!C119</f>
        <v>frere karim</v>
      </c>
      <c r="E119" s="6" t="str">
        <f>APPRENANTS!F119</f>
        <v>2026-07-04</v>
      </c>
      <c r="F119" s="9">
        <f t="shared" si="2"/>
        <v>46242</v>
      </c>
      <c r="G119" s="6" t="str">
        <f>APPRENANTS!G119</f>
        <v>Accepté</v>
      </c>
      <c r="H119" s="11">
        <v>0.0</v>
      </c>
      <c r="I119" s="11">
        <v>1500.0</v>
      </c>
      <c r="J119" s="6">
        <f>IF(APPRENANTS!Y119="Oui",IF(H119&gt;0,825,750),0)</f>
        <v>750</v>
      </c>
      <c r="K119" s="11" t="s">
        <v>68</v>
      </c>
      <c r="L119" s="6" t="str">
        <f>IF(APPRENANTS!Y119="Non","Inscription non confirmee",IF(K119="Oui","Payee",IF(F119="","",IF(TODAY()&gt;=F119,"En retard - a verser","A venir"))))</f>
        <v>A venir</v>
      </c>
      <c r="M119" s="6" t="str">
        <f t="shared" si="3"/>
        <v>aout 2026</v>
      </c>
      <c r="N119" s="6" t="str">
        <f>APPRENANTS!Y119</f>
        <v>Oui</v>
      </c>
      <c r="O119" s="6">
        <f t="shared" ref="O119:P119" si="120">IF($N119="Oui",I119,0)</f>
        <v>1500</v>
      </c>
      <c r="P119" s="6">
        <f t="shared" si="120"/>
        <v>750</v>
      </c>
    </row>
    <row r="120" ht="15.0" customHeight="1">
      <c r="A120" s="6" t="str">
        <f>APPRENANTS!A120</f>
        <v>Proskills Institut</v>
      </c>
      <c r="B120" s="6" t="str">
        <f>APPRENANTS!B120</f>
        <v>BUIDIN Michael</v>
      </c>
      <c r="C120" s="6" t="str">
        <f>APPRENANTS!D120</f>
        <v>Améliorer l'efficacité de sa TPE à l'aide de l'IA</v>
      </c>
      <c r="D120" s="6" t="str">
        <f>APPRENANTS!C120</f>
        <v>frere karim</v>
      </c>
      <c r="E120" s="6" t="str">
        <f>APPRENANTS!F120</f>
        <v>2026-07-11</v>
      </c>
      <c r="F120" s="9">
        <f t="shared" si="2"/>
        <v>46249</v>
      </c>
      <c r="G120" s="6" t="str">
        <f>APPRENANTS!G120</f>
        <v>Accepté</v>
      </c>
      <c r="H120" s="11">
        <v>0.0</v>
      </c>
      <c r="I120" s="11">
        <v>1500.0</v>
      </c>
      <c r="J120" s="6">
        <f>IF(APPRENANTS!Y120="Oui",IF(H120&gt;0,825,750),0)</f>
        <v>750</v>
      </c>
      <c r="K120" s="11" t="s">
        <v>68</v>
      </c>
      <c r="L120" s="6" t="str">
        <f>IF(APPRENANTS!Y120="Non","Inscription non confirmee",IF(K120="Oui","Payee",IF(F120="","",IF(TODAY()&gt;=F120,"En retard - a verser","A venir"))))</f>
        <v>A venir</v>
      </c>
      <c r="M120" s="6" t="str">
        <f t="shared" si="3"/>
        <v>aout 2026</v>
      </c>
      <c r="N120" s="6" t="str">
        <f>APPRENANTS!Y120</f>
        <v>Oui</v>
      </c>
      <c r="O120" s="6">
        <f t="shared" ref="O120:P120" si="121">IF($N120="Oui",I120,0)</f>
        <v>1500</v>
      </c>
      <c r="P120" s="6">
        <f t="shared" si="121"/>
        <v>750</v>
      </c>
    </row>
    <row r="121" ht="15.0" customHeight="1">
      <c r="A121" s="6" t="str">
        <f>APPRENANTS!A121</f>
        <v>Proskills Institut</v>
      </c>
      <c r="B121" s="6" t="str">
        <f>APPRENANTS!B121</f>
        <v>BUIDIN Michael</v>
      </c>
      <c r="C121" s="6" t="str">
        <f>APPRENANTS!D121</f>
        <v>Réaliser les opérations comptables courantes d'une TPE</v>
      </c>
      <c r="D121" s="6" t="str">
        <f>APPRENANTS!C121</f>
        <v>frere karim</v>
      </c>
      <c r="E121" s="6" t="str">
        <f>APPRENANTS!F121</f>
        <v>2026-07-18</v>
      </c>
      <c r="F121" s="9">
        <f t="shared" si="2"/>
        <v>46256</v>
      </c>
      <c r="G121" s="6" t="str">
        <f>APPRENANTS!G121</f>
        <v>Accepté</v>
      </c>
      <c r="H121" s="11">
        <v>0.0</v>
      </c>
      <c r="I121" s="11">
        <v>1500.0</v>
      </c>
      <c r="J121" s="6">
        <f>IF(APPRENANTS!Y121="Oui",IF(H121&gt;0,825,750),0)</f>
        <v>750</v>
      </c>
      <c r="K121" s="11" t="s">
        <v>68</v>
      </c>
      <c r="L121" s="6" t="str">
        <f>IF(APPRENANTS!Y121="Non","Inscription non confirmee",IF(K121="Oui","Payee",IF(F121="","",IF(TODAY()&gt;=F121,"En retard - a verser","A venir"))))</f>
        <v>A venir</v>
      </c>
      <c r="M121" s="6" t="str">
        <f t="shared" si="3"/>
        <v>aout 2026</v>
      </c>
      <c r="N121" s="6" t="str">
        <f>APPRENANTS!Y121</f>
        <v>Oui</v>
      </c>
      <c r="O121" s="6">
        <f t="shared" ref="O121:P121" si="122">IF($N121="Oui",I121,0)</f>
        <v>1500</v>
      </c>
      <c r="P121" s="6">
        <f t="shared" si="122"/>
        <v>750</v>
      </c>
    </row>
    <row r="122" ht="15.0" customHeight="1">
      <c r="A122" s="6" t="str">
        <f>APPRENANTS!A122</f>
        <v>Proskills Institut</v>
      </c>
      <c r="B122" s="6" t="str">
        <f>APPRENANTS!B122</f>
        <v>JIMENEZ Joris</v>
      </c>
      <c r="C122" s="6" t="str">
        <f>APPRENANTS!D122</f>
        <v>Communiquer sur les réseaux sociaux pour promouvoir sa TPE</v>
      </c>
      <c r="D122" s="6" t="str">
        <f>APPRENANTS!C122</f>
        <v>frere karim</v>
      </c>
      <c r="E122" s="6" t="str">
        <f>APPRENANTS!F122</f>
        <v>2026-07-04</v>
      </c>
      <c r="F122" s="9">
        <f t="shared" si="2"/>
        <v>46242</v>
      </c>
      <c r="G122" s="6" t="str">
        <f>APPRENANTS!G122</f>
        <v>Accepté</v>
      </c>
      <c r="H122" s="11">
        <v>0.0</v>
      </c>
      <c r="I122" s="11">
        <v>1500.0</v>
      </c>
      <c r="J122" s="6">
        <f>IF(APPRENANTS!Y122="Oui",IF(H122&gt;0,825,750),0)</f>
        <v>750</v>
      </c>
      <c r="K122" s="11" t="s">
        <v>68</v>
      </c>
      <c r="L122" s="6" t="str">
        <f>IF(APPRENANTS!Y122="Non","Inscription non confirmee",IF(K122="Oui","Payee",IF(F122="","",IF(TODAY()&gt;=F122,"En retard - a verser","A venir"))))</f>
        <v>A venir</v>
      </c>
      <c r="M122" s="6" t="str">
        <f t="shared" si="3"/>
        <v>aout 2026</v>
      </c>
      <c r="N122" s="6" t="str">
        <f>APPRENANTS!Y122</f>
        <v>Oui</v>
      </c>
      <c r="O122" s="6">
        <f t="shared" ref="O122:P122" si="123">IF($N122="Oui",I122,0)</f>
        <v>1500</v>
      </c>
      <c r="P122" s="6">
        <f t="shared" si="123"/>
        <v>750</v>
      </c>
    </row>
    <row r="123" ht="15.0" customHeight="1">
      <c r="A123" s="6" t="str">
        <f>APPRENANTS!A123</f>
        <v>Proskills Institut</v>
      </c>
      <c r="B123" s="6" t="str">
        <f>APPRENANTS!B123</f>
        <v>JIMENEZ Joris</v>
      </c>
      <c r="C123" s="6" t="str">
        <f>APPRENANTS!D123</f>
        <v>Améliorer l'efficacité de sa TPE à l'aide de l'IA</v>
      </c>
      <c r="D123" s="6" t="str">
        <f>APPRENANTS!C123</f>
        <v>frere karim</v>
      </c>
      <c r="E123" s="6" t="str">
        <f>APPRENANTS!F123</f>
        <v>2026-07-11</v>
      </c>
      <c r="F123" s="9">
        <f t="shared" si="2"/>
        <v>46249</v>
      </c>
      <c r="G123" s="6" t="str">
        <f>APPRENANTS!G123</f>
        <v>Accepté</v>
      </c>
      <c r="H123" s="11">
        <v>0.0</v>
      </c>
      <c r="I123" s="11">
        <v>1500.0</v>
      </c>
      <c r="J123" s="6">
        <f>IF(APPRENANTS!Y123="Oui",IF(H123&gt;0,825,750),0)</f>
        <v>750</v>
      </c>
      <c r="K123" s="11" t="s">
        <v>68</v>
      </c>
      <c r="L123" s="6" t="str">
        <f>IF(APPRENANTS!Y123="Non","Inscription non confirmee",IF(K123="Oui","Payee",IF(F123="","",IF(TODAY()&gt;=F123,"En retard - a verser","A venir"))))</f>
        <v>A venir</v>
      </c>
      <c r="M123" s="6" t="str">
        <f t="shared" si="3"/>
        <v>aout 2026</v>
      </c>
      <c r="N123" s="6" t="str">
        <f>APPRENANTS!Y123</f>
        <v>Oui</v>
      </c>
      <c r="O123" s="6">
        <f t="shared" ref="O123:P123" si="124">IF($N123="Oui",I123,0)</f>
        <v>1500</v>
      </c>
      <c r="P123" s="6">
        <f t="shared" si="124"/>
        <v>750</v>
      </c>
    </row>
    <row r="124" ht="15.0" customHeight="1">
      <c r="A124" s="6" t="str">
        <f>APPRENANTS!A124</f>
        <v>Proskills Institut</v>
      </c>
      <c r="B124" s="6" t="str">
        <f>APPRENANTS!B124</f>
        <v>MERAH Sarah</v>
      </c>
      <c r="C124" s="6" t="str">
        <f>APPRENANTS!D124</f>
        <v>Développer son activité avec l'intelligence artificielle</v>
      </c>
      <c r="D124" s="6" t="str">
        <f>APPRENANTS!C124</f>
        <v>Jean</v>
      </c>
      <c r="E124" s="6" t="str">
        <f>APPRENANTS!F124</f>
        <v>2026-07-04</v>
      </c>
      <c r="F124" s="9">
        <f t="shared" si="2"/>
        <v>46242</v>
      </c>
      <c r="G124" s="6" t="str">
        <f>APPRENANTS!G124</f>
        <v>Accepté</v>
      </c>
      <c r="H124" s="11">
        <v>0.0</v>
      </c>
      <c r="I124" s="11">
        <v>1500.0</v>
      </c>
      <c r="J124" s="6">
        <f>IF(APPRENANTS!Y124="Oui",IF(H124&gt;0,825,750),0)</f>
        <v>750</v>
      </c>
      <c r="K124" s="11" t="s">
        <v>68</v>
      </c>
      <c r="L124" s="6" t="str">
        <f>IF(APPRENANTS!Y124="Non","Inscription non confirmee",IF(K124="Oui","Payee",IF(F124="","",IF(TODAY()&gt;=F124,"En retard - a verser","A venir"))))</f>
        <v>A venir</v>
      </c>
      <c r="M124" s="6" t="str">
        <f t="shared" si="3"/>
        <v>aout 2026</v>
      </c>
      <c r="N124" s="6" t="str">
        <f>APPRENANTS!Y124</f>
        <v>Oui</v>
      </c>
      <c r="O124" s="6">
        <f t="shared" ref="O124:P124" si="125">IF($N124="Oui",I124,0)</f>
        <v>1500</v>
      </c>
      <c r="P124" s="6">
        <f t="shared" si="125"/>
        <v>750</v>
      </c>
    </row>
    <row r="125" ht="15.0" customHeight="1">
      <c r="A125" s="6" t="str">
        <f>APPRENANTS!A125</f>
        <v>Proskills Institut</v>
      </c>
      <c r="B125" s="6" t="str">
        <f>APPRENANTS!B125</f>
        <v>TORRES Aurore</v>
      </c>
      <c r="C125" s="6" t="str">
        <f>APPRENANTS!D125</f>
        <v>Développer son activité avec l'intelligence artificielle</v>
      </c>
      <c r="D125" s="6" t="str">
        <f>APPRENANTS!C125</f>
        <v>GRAS</v>
      </c>
      <c r="E125" s="6" t="str">
        <f>APPRENANTS!F125</f>
        <v>2026-07-04</v>
      </c>
      <c r="F125" s="9">
        <f t="shared" si="2"/>
        <v>46242</v>
      </c>
      <c r="G125" s="6" t="str">
        <f>APPRENANTS!G125</f>
        <v>Accepté</v>
      </c>
      <c r="H125" s="11">
        <v>0.0</v>
      </c>
      <c r="I125" s="11">
        <v>1500.0</v>
      </c>
      <c r="J125" s="6">
        <f>IF(APPRENANTS!Y125="Oui",IF(H125&gt;0,825,750),0)</f>
        <v>750</v>
      </c>
      <c r="K125" s="11" t="s">
        <v>68</v>
      </c>
      <c r="L125" s="6" t="str">
        <f>IF(APPRENANTS!Y125="Non","Inscription non confirmee",IF(K125="Oui","Payee",IF(F125="","",IF(TODAY()&gt;=F125,"En retard - a verser","A venir"))))</f>
        <v>A venir</v>
      </c>
      <c r="M125" s="6" t="str">
        <f t="shared" si="3"/>
        <v>aout 2026</v>
      </c>
      <c r="N125" s="6" t="str">
        <f>APPRENANTS!Y125</f>
        <v>Oui</v>
      </c>
      <c r="O125" s="6">
        <f t="shared" ref="O125:P125" si="126">IF($N125="Oui",I125,0)</f>
        <v>1500</v>
      </c>
      <c r="P125" s="6">
        <f t="shared" si="126"/>
        <v>750</v>
      </c>
    </row>
    <row r="126" ht="15.0" customHeight="1">
      <c r="A126" s="6" t="str">
        <f>APPRENANTS!A126</f>
        <v>Proskills Institut</v>
      </c>
      <c r="B126" s="6" t="str">
        <f>APPRENANTS!B126</f>
        <v>MAKHLOUF Ahmed</v>
      </c>
      <c r="C126" s="6" t="str">
        <f>APPRENANTS!D126</f>
        <v>Communiquer sur les réseaux sociaux pour promouvoir sa TPE</v>
      </c>
      <c r="D126" s="6" t="str">
        <f>APPRENANTS!C126</f>
        <v>Sabri</v>
      </c>
      <c r="E126" s="6" t="str">
        <f>APPRENANTS!F126</f>
        <v>2026-07-04</v>
      </c>
      <c r="F126" s="9">
        <f t="shared" si="2"/>
        <v>46242</v>
      </c>
      <c r="G126" s="6" t="str">
        <f>APPRENANTS!G126</f>
        <v>Accepté</v>
      </c>
      <c r="H126" s="11">
        <v>0.0</v>
      </c>
      <c r="I126" s="11">
        <v>1500.0</v>
      </c>
      <c r="J126" s="6">
        <f>IF(APPRENANTS!Y126="Oui",IF(H126&gt;0,825,750),0)</f>
        <v>750</v>
      </c>
      <c r="K126" s="11" t="s">
        <v>68</v>
      </c>
      <c r="L126" s="6" t="str">
        <f>IF(APPRENANTS!Y126="Non","Inscription non confirmee",IF(K126="Oui","Payee",IF(F126="","",IF(TODAY()&gt;=F126,"En retard - a verser","A venir"))))</f>
        <v>A venir</v>
      </c>
      <c r="M126" s="6" t="str">
        <f t="shared" si="3"/>
        <v>aout 2026</v>
      </c>
      <c r="N126" s="6" t="str">
        <f>APPRENANTS!Y126</f>
        <v>Oui</v>
      </c>
      <c r="O126" s="6">
        <f t="shared" ref="O126:P126" si="127">IF($N126="Oui",I126,0)</f>
        <v>1500</v>
      </c>
      <c r="P126" s="6">
        <f t="shared" si="127"/>
        <v>750</v>
      </c>
    </row>
    <row r="127" ht="15.0" customHeight="1">
      <c r="A127" s="6" t="str">
        <f>APPRENANTS!A127</f>
        <v>Proskills Institut</v>
      </c>
      <c r="B127" s="6" t="str">
        <f>APPRENANTS!B127</f>
        <v>MAKHLOUF Ahmed</v>
      </c>
      <c r="C127" s="6" t="str">
        <f>APPRENANTS!D127</f>
        <v>Améliorer l'efficacité de sa TPE à l'aide de l'IA</v>
      </c>
      <c r="D127" s="6" t="str">
        <f>APPRENANTS!C127</f>
        <v>Sabri</v>
      </c>
      <c r="E127" s="6" t="str">
        <f>APPRENANTS!F127</f>
        <v>2026-07-11</v>
      </c>
      <c r="F127" s="9">
        <f t="shared" si="2"/>
        <v>46249</v>
      </c>
      <c r="G127" s="6" t="str">
        <f>APPRENANTS!G127</f>
        <v>Accepté</v>
      </c>
      <c r="H127" s="11">
        <v>0.0</v>
      </c>
      <c r="I127" s="11">
        <v>1500.0</v>
      </c>
      <c r="J127" s="6">
        <f>IF(APPRENANTS!Y127="Oui",IF(H127&gt;0,825,750),0)</f>
        <v>750</v>
      </c>
      <c r="K127" s="11" t="s">
        <v>68</v>
      </c>
      <c r="L127" s="6" t="str">
        <f>IF(APPRENANTS!Y127="Non","Inscription non confirmee",IF(K127="Oui","Payee",IF(F127="","",IF(TODAY()&gt;=F127,"En retard - a verser","A venir"))))</f>
        <v>A venir</v>
      </c>
      <c r="M127" s="6" t="str">
        <f t="shared" si="3"/>
        <v>aout 2026</v>
      </c>
      <c r="N127" s="6" t="str">
        <f>APPRENANTS!Y127</f>
        <v>Oui</v>
      </c>
      <c r="O127" s="6">
        <f t="shared" ref="O127:P127" si="128">IF($N127="Oui",I127,0)</f>
        <v>1500</v>
      </c>
      <c r="P127" s="6">
        <f t="shared" si="128"/>
        <v>750</v>
      </c>
    </row>
    <row r="128" ht="15.0" customHeight="1">
      <c r="A128" s="6" t="str">
        <f>APPRENANTS!A128</f>
        <v>Proskills Institut</v>
      </c>
      <c r="B128" s="6" t="str">
        <f>APPRENANTS!B128</f>
        <v>MAKHLOUF Ahmed</v>
      </c>
      <c r="C128" s="6" t="str">
        <f>APPRENANTS!D128</f>
        <v>Réaliser les opérations comptables courantes d'une TPE</v>
      </c>
      <c r="D128" s="6" t="str">
        <f>APPRENANTS!C128</f>
        <v>Sabri</v>
      </c>
      <c r="E128" s="6" t="str">
        <f>APPRENANTS!F128</f>
        <v>2026-07-18</v>
      </c>
      <c r="F128" s="9">
        <f t="shared" si="2"/>
        <v>46256</v>
      </c>
      <c r="G128" s="6" t="str">
        <f>APPRENANTS!G128</f>
        <v>Accepté</v>
      </c>
      <c r="H128" s="11">
        <v>0.0</v>
      </c>
      <c r="I128" s="11">
        <v>1500.0</v>
      </c>
      <c r="J128" s="6">
        <f>IF(APPRENANTS!Y128="Oui",IF(H128&gt;0,825,750),0)</f>
        <v>750</v>
      </c>
      <c r="K128" s="11" t="s">
        <v>68</v>
      </c>
      <c r="L128" s="6" t="str">
        <f>IF(APPRENANTS!Y128="Non","Inscription non confirmee",IF(K128="Oui","Payee",IF(F128="","",IF(TODAY()&gt;=F128,"En retard - a verser","A venir"))))</f>
        <v>A venir</v>
      </c>
      <c r="M128" s="6" t="str">
        <f t="shared" si="3"/>
        <v>aout 2026</v>
      </c>
      <c r="N128" s="6" t="str">
        <f>APPRENANTS!Y128</f>
        <v>Oui</v>
      </c>
      <c r="O128" s="6">
        <f t="shared" ref="O128:P128" si="129">IF($N128="Oui",I128,0)</f>
        <v>1500</v>
      </c>
      <c r="P128" s="6">
        <f t="shared" si="129"/>
        <v>750</v>
      </c>
    </row>
    <row r="129" ht="15.0" customHeight="1">
      <c r="A129" s="6" t="str">
        <f>APPRENANTS!A129</f>
        <v>Proskills Institut</v>
      </c>
      <c r="B129" s="6" t="str">
        <f>APPRENANTS!B129</f>
        <v>BOUMEZIOUD Nassim</v>
      </c>
      <c r="C129" s="6" t="str">
        <f>APPRENANTS!D129</f>
        <v>Communiquer sur les réseaux sociaux pour promouvoir sa TPE</v>
      </c>
      <c r="D129" s="6" t="str">
        <f>APPRENANTS!C129</f>
        <v>Sabri</v>
      </c>
      <c r="E129" s="6" t="str">
        <f>APPRENANTS!F129</f>
        <v>2026-07-04</v>
      </c>
      <c r="F129" s="9">
        <f t="shared" si="2"/>
        <v>46242</v>
      </c>
      <c r="G129" s="6" t="str">
        <f>APPRENANTS!G129</f>
        <v>Accepté</v>
      </c>
      <c r="H129" s="11">
        <v>0.0</v>
      </c>
      <c r="I129" s="11">
        <v>1500.0</v>
      </c>
      <c r="J129" s="6">
        <f>IF(APPRENANTS!Y129="Oui",IF(H129&gt;0,825,750),0)</f>
        <v>750</v>
      </c>
      <c r="K129" s="11" t="s">
        <v>68</v>
      </c>
      <c r="L129" s="6" t="str">
        <f>IF(APPRENANTS!Y129="Non","Inscription non confirmee",IF(K129="Oui","Payee",IF(F129="","",IF(TODAY()&gt;=F129,"En retard - a verser","A venir"))))</f>
        <v>A venir</v>
      </c>
      <c r="M129" s="6" t="str">
        <f t="shared" si="3"/>
        <v>aout 2026</v>
      </c>
      <c r="N129" s="6" t="str">
        <f>APPRENANTS!Y129</f>
        <v>Oui</v>
      </c>
      <c r="O129" s="6">
        <f t="shared" ref="O129:P129" si="130">IF($N129="Oui",I129,0)</f>
        <v>1500</v>
      </c>
      <c r="P129" s="6">
        <f t="shared" si="130"/>
        <v>750</v>
      </c>
    </row>
    <row r="130" ht="15.0" customHeight="1">
      <c r="A130" s="6" t="str">
        <f>APPRENANTS!A130</f>
        <v>Proskills Institut</v>
      </c>
      <c r="B130" s="6" t="str">
        <f>APPRENANTS!B130</f>
        <v>BOUMEZIOUD Nassim</v>
      </c>
      <c r="C130" s="6" t="str">
        <f>APPRENANTS!D130</f>
        <v>Réaliser les opérations comptables courantes d'une TPE</v>
      </c>
      <c r="D130" s="6" t="str">
        <f>APPRENANTS!C130</f>
        <v>Sabri</v>
      </c>
      <c r="E130" s="6" t="str">
        <f>APPRENANTS!F130</f>
        <v>2026-07-18</v>
      </c>
      <c r="F130" s="9">
        <f t="shared" si="2"/>
        <v>46256</v>
      </c>
      <c r="G130" s="6" t="str">
        <f>APPRENANTS!G130</f>
        <v>Accepté</v>
      </c>
      <c r="H130" s="11">
        <v>0.0</v>
      </c>
      <c r="I130" s="11">
        <v>1500.0</v>
      </c>
      <c r="J130" s="6">
        <f>IF(APPRENANTS!Y130="Oui",IF(H130&gt;0,825,750),0)</f>
        <v>750</v>
      </c>
      <c r="K130" s="11" t="s">
        <v>68</v>
      </c>
      <c r="L130" s="6" t="str">
        <f>IF(APPRENANTS!Y130="Non","Inscription non confirmee",IF(K130="Oui","Payee",IF(F130="","",IF(TODAY()&gt;=F130,"En retard - a verser","A venir"))))</f>
        <v>A venir</v>
      </c>
      <c r="M130" s="6" t="str">
        <f t="shared" si="3"/>
        <v>aout 2026</v>
      </c>
      <c r="N130" s="6" t="str">
        <f>APPRENANTS!Y130</f>
        <v>Oui</v>
      </c>
      <c r="O130" s="6">
        <f t="shared" ref="O130:P130" si="131">IF($N130="Oui",I130,0)</f>
        <v>1500</v>
      </c>
      <c r="P130" s="6">
        <f t="shared" si="131"/>
        <v>750</v>
      </c>
    </row>
    <row r="131" ht="15.0" customHeight="1">
      <c r="A131" s="6" t="str">
        <f>APPRENANTS!A131</f>
        <v>Proskills Institut</v>
      </c>
      <c r="B131" s="6" t="str">
        <f>APPRENANTS!B131</f>
        <v>ESPINEIRA Bryan</v>
      </c>
      <c r="C131" s="6" t="str">
        <f>APPRENANTS!D131</f>
        <v>Développer son activité avec l'intelligence artificielle</v>
      </c>
      <c r="D131" s="6" t="str">
        <f>APPRENANTS!C131</f>
        <v>Djody</v>
      </c>
      <c r="E131" s="6" t="str">
        <f>APPRENANTS!F131</f>
        <v>2026-07-04</v>
      </c>
      <c r="F131" s="9">
        <f t="shared" si="2"/>
        <v>46242</v>
      </c>
      <c r="G131" s="6" t="str">
        <f>APPRENANTS!G131</f>
        <v>Accepté</v>
      </c>
      <c r="H131" s="11">
        <v>0.0</v>
      </c>
      <c r="I131" s="11">
        <v>1500.0</v>
      </c>
      <c r="J131" s="6">
        <f>IF(APPRENANTS!Y131="Oui",IF(H131&gt;0,825,750),0)</f>
        <v>750</v>
      </c>
      <c r="K131" s="11" t="s">
        <v>68</v>
      </c>
      <c r="L131" s="6" t="str">
        <f>IF(APPRENANTS!Y131="Non","Inscription non confirmee",IF(K131="Oui","Payee",IF(F131="","",IF(TODAY()&gt;=F131,"En retard - a verser","A venir"))))</f>
        <v>A venir</v>
      </c>
      <c r="M131" s="6" t="str">
        <f t="shared" si="3"/>
        <v>aout 2026</v>
      </c>
      <c r="N131" s="6" t="str">
        <f>APPRENANTS!Y131</f>
        <v>Oui</v>
      </c>
      <c r="O131" s="6">
        <f t="shared" ref="O131:P131" si="132">IF($N131="Oui",I131,0)</f>
        <v>1500</v>
      </c>
      <c r="P131" s="6">
        <f t="shared" si="132"/>
        <v>750</v>
      </c>
    </row>
    <row r="132" ht="15.0" customHeight="1">
      <c r="A132" s="6" t="str">
        <f>APPRENANTS!A132</f>
        <v>Proskills Institut</v>
      </c>
      <c r="B132" s="6" t="str">
        <f>APPRENANTS!B132</f>
        <v>EL ARBAOUI Salwa</v>
      </c>
      <c r="C132" s="6" t="str">
        <f>APPRENANTS!D132</f>
        <v>Réaliser les opérations comptables courantes d'une TPE E-LEARNING</v>
      </c>
      <c r="D132" s="6" t="str">
        <f>APPRENANTS!C132</f>
        <v>Djody</v>
      </c>
      <c r="E132" s="6" t="str">
        <f>APPRENANTS!F132</f>
        <v>2026-07-24</v>
      </c>
      <c r="F132" s="9">
        <f t="shared" si="2"/>
        <v>46262</v>
      </c>
      <c r="G132" s="6" t="str">
        <f>APPRENANTS!G132</f>
        <v>Accepté</v>
      </c>
      <c r="H132" s="11">
        <v>0.0</v>
      </c>
      <c r="I132" s="11">
        <v>1500.0</v>
      </c>
      <c r="J132" s="6">
        <f>IF(APPRENANTS!Y132="Oui",IF(H132&gt;0,825,750),0)</f>
        <v>750</v>
      </c>
      <c r="K132" s="11" t="s">
        <v>68</v>
      </c>
      <c r="L132" s="6" t="str">
        <f>IF(APPRENANTS!Y132="Non","Inscription non confirmee",IF(K132="Oui","Payee",IF(F132="","",IF(TODAY()&gt;=F132,"En retard - a verser","A venir"))))</f>
        <v>A venir</v>
      </c>
      <c r="M132" s="6" t="str">
        <f t="shared" si="3"/>
        <v>aout 2026</v>
      </c>
      <c r="N132" s="6" t="str">
        <f>APPRENANTS!Y132</f>
        <v>Oui</v>
      </c>
      <c r="O132" s="6">
        <f t="shared" ref="O132:P132" si="133">IF($N132="Oui",I132,0)</f>
        <v>1500</v>
      </c>
      <c r="P132" s="6">
        <f t="shared" si="133"/>
        <v>750</v>
      </c>
    </row>
    <row r="133" ht="15.0" customHeight="1">
      <c r="A133" s="6" t="str">
        <f>APPRENANTS!A133</f>
        <v>Proskills Institut</v>
      </c>
      <c r="B133" s="6" t="str">
        <f>APPRENANTS!B133</f>
        <v>MAECHA Ismail</v>
      </c>
      <c r="C133" s="6" t="str">
        <f>APPRENANTS!D133</f>
        <v>Améliorer l'efficacité de sa TPE à l'aide de l'IA</v>
      </c>
      <c r="D133" s="6" t="str">
        <f>APPRENANTS!C133</f>
        <v>Sabri</v>
      </c>
      <c r="E133" s="6" t="str">
        <f>APPRENANTS!F133</f>
        <v>2026-08-01</v>
      </c>
      <c r="F133" s="9">
        <f t="shared" si="2"/>
        <v>46270</v>
      </c>
      <c r="G133" s="6" t="str">
        <f>APPRENANTS!G133</f>
        <v>Accepté</v>
      </c>
      <c r="H133" s="11">
        <v>0.0</v>
      </c>
      <c r="I133" s="11">
        <v>1500.0</v>
      </c>
      <c r="J133" s="6">
        <f>IF(APPRENANTS!Y133="Oui",IF(H133&gt;0,825,750),0)</f>
        <v>750</v>
      </c>
      <c r="K133" s="11" t="s">
        <v>68</v>
      </c>
      <c r="L133" s="6" t="str">
        <f>IF(APPRENANTS!Y133="Non","Inscription non confirmee",IF(K133="Oui","Payee",IF(F133="","",IF(TODAY()&gt;=F133,"En retard - a verser","A venir"))))</f>
        <v>A venir</v>
      </c>
      <c r="M133" s="6" t="str">
        <f t="shared" si="3"/>
        <v>septembre 2026</v>
      </c>
      <c r="N133" s="6" t="str">
        <f>APPRENANTS!Y133</f>
        <v>Oui</v>
      </c>
      <c r="O133" s="6">
        <f t="shared" ref="O133:P133" si="134">IF($N133="Oui",I133,0)</f>
        <v>1500</v>
      </c>
      <c r="P133" s="6">
        <f t="shared" si="134"/>
        <v>750</v>
      </c>
    </row>
    <row r="134" ht="15.0" customHeight="1">
      <c r="A134" s="6" t="str">
        <f>APPRENANTS!A134</f>
        <v>Proskills Institut</v>
      </c>
      <c r="B134" s="6" t="str">
        <f>APPRENANTS!B134</f>
        <v>MAECHA Ismail</v>
      </c>
      <c r="C134" s="6" t="str">
        <f>APPRENANTS!D134</f>
        <v>Communiquer sur les réseaux sociaux pour promouvoir sa TPE</v>
      </c>
      <c r="D134" s="6" t="str">
        <f>APPRENANTS!C134</f>
        <v>Sabri</v>
      </c>
      <c r="E134" s="6" t="str">
        <f>APPRENANTS!F134</f>
        <v>2026-08-08</v>
      </c>
      <c r="F134" s="9">
        <f t="shared" si="2"/>
        <v>46277</v>
      </c>
      <c r="G134" s="6" t="str">
        <f>APPRENANTS!G134</f>
        <v>Accepté</v>
      </c>
      <c r="H134" s="11">
        <v>0.0</v>
      </c>
      <c r="I134" s="11">
        <v>1500.0</v>
      </c>
      <c r="J134" s="6">
        <f>IF(APPRENANTS!Y134="Oui",IF(H134&gt;0,825,750),0)</f>
        <v>750</v>
      </c>
      <c r="K134" s="11" t="s">
        <v>68</v>
      </c>
      <c r="L134" s="6" t="str">
        <f>IF(APPRENANTS!Y134="Non","Inscription non confirmee",IF(K134="Oui","Payee",IF(F134="","",IF(TODAY()&gt;=F134,"En retard - a verser","A venir"))))</f>
        <v>A venir</v>
      </c>
      <c r="M134" s="6" t="str">
        <f t="shared" si="3"/>
        <v>septembre 2026</v>
      </c>
      <c r="N134" s="6" t="str">
        <f>APPRENANTS!Y134</f>
        <v>Oui</v>
      </c>
      <c r="O134" s="6">
        <f t="shared" ref="O134:P134" si="135">IF($N134="Oui",I134,0)</f>
        <v>1500</v>
      </c>
      <c r="P134" s="6">
        <f t="shared" si="135"/>
        <v>750</v>
      </c>
    </row>
    <row r="135" ht="15.0" customHeight="1">
      <c r="A135" s="6" t="str">
        <f>APPRENANTS!A135</f>
        <v>Proskills Institut</v>
      </c>
      <c r="B135" s="6" t="str">
        <f>APPRENANTS!B135</f>
        <v>VARDANYAN Irina</v>
      </c>
      <c r="C135" s="6" t="str">
        <f>APPRENANTS!D135</f>
        <v>Améliorer l'efficacité de sa TPE à l'aide de l'IA</v>
      </c>
      <c r="D135" s="6" t="str">
        <f>APPRENANTS!C135</f>
        <v>Sabri</v>
      </c>
      <c r="E135" s="6" t="str">
        <f>APPRENANTS!F135</f>
        <v>2026-08-01</v>
      </c>
      <c r="F135" s="9">
        <f t="shared" si="2"/>
        <v>46270</v>
      </c>
      <c r="G135" s="6" t="str">
        <f>APPRENANTS!G135</f>
        <v>Accepté</v>
      </c>
      <c r="H135" s="11">
        <v>0.0</v>
      </c>
      <c r="I135" s="11">
        <v>1500.0</v>
      </c>
      <c r="J135" s="6">
        <f>IF(APPRENANTS!Y135="Oui",IF(H135&gt;0,825,750),0)</f>
        <v>750</v>
      </c>
      <c r="K135" s="11" t="s">
        <v>68</v>
      </c>
      <c r="L135" s="6" t="str">
        <f>IF(APPRENANTS!Y135="Non","Inscription non confirmee",IF(K135="Oui","Payee",IF(F135="","",IF(TODAY()&gt;=F135,"En retard - a verser","A venir"))))</f>
        <v>A venir</v>
      </c>
      <c r="M135" s="6" t="str">
        <f t="shared" si="3"/>
        <v>septembre 2026</v>
      </c>
      <c r="N135" s="6" t="str">
        <f>APPRENANTS!Y135</f>
        <v>Oui</v>
      </c>
      <c r="O135" s="6">
        <f t="shared" ref="O135:P135" si="136">IF($N135="Oui",I135,0)</f>
        <v>1500</v>
      </c>
      <c r="P135" s="6">
        <f t="shared" si="136"/>
        <v>750</v>
      </c>
    </row>
    <row r="136" ht="15.0" customHeight="1">
      <c r="A136" s="6" t="str">
        <f>APPRENANTS!A136</f>
        <v>Proskills Institut</v>
      </c>
      <c r="B136" s="6" t="str">
        <f>APPRENANTS!B136</f>
        <v>VARDANYAN Irina</v>
      </c>
      <c r="C136" s="6" t="str">
        <f>APPRENANTS!D136</f>
        <v>Communiquer sur les réseaux sociaux pour promouvoir sa TPE</v>
      </c>
      <c r="D136" s="6" t="str">
        <f>APPRENANTS!C136</f>
        <v>Sabri</v>
      </c>
      <c r="E136" s="6" t="str">
        <f>APPRENANTS!F136</f>
        <v>2026-08-08</v>
      </c>
      <c r="F136" s="9">
        <f t="shared" si="2"/>
        <v>46277</v>
      </c>
      <c r="G136" s="6" t="str">
        <f>APPRENANTS!G136</f>
        <v>Accepté</v>
      </c>
      <c r="H136" s="11">
        <v>0.0</v>
      </c>
      <c r="I136" s="11">
        <v>1500.0</v>
      </c>
      <c r="J136" s="6">
        <f>IF(APPRENANTS!Y136="Oui",IF(H136&gt;0,825,750),0)</f>
        <v>750</v>
      </c>
      <c r="K136" s="11" t="s">
        <v>68</v>
      </c>
      <c r="L136" s="6" t="str">
        <f>IF(APPRENANTS!Y136="Non","Inscription non confirmee",IF(K136="Oui","Payee",IF(F136="","",IF(TODAY()&gt;=F136,"En retard - a verser","A venir"))))</f>
        <v>A venir</v>
      </c>
      <c r="M136" s="6" t="str">
        <f t="shared" si="3"/>
        <v>septembre 2026</v>
      </c>
      <c r="N136" s="6" t="str">
        <f>APPRENANTS!Y136</f>
        <v>Oui</v>
      </c>
      <c r="O136" s="6">
        <f t="shared" ref="O136:P136" si="137">IF($N136="Oui",I136,0)</f>
        <v>1500</v>
      </c>
      <c r="P136" s="6">
        <f t="shared" si="137"/>
        <v>750</v>
      </c>
    </row>
    <row r="137" ht="15.0" customHeight="1">
      <c r="A137" s="6" t="str">
        <f>APPRENANTS!A137</f>
        <v>Proskills Institut</v>
      </c>
      <c r="B137" s="6" t="str">
        <f>APPRENANTS!B137</f>
        <v>BIANCO Sebastien</v>
      </c>
      <c r="C137" s="6" t="str">
        <f>APPRENANTS!D137</f>
        <v>25 AV De la Petite Suisse 13012 MARSEILLE</v>
      </c>
      <c r="D137" s="6" t="str">
        <f>APPRENANTS!C137</f>
        <v>Djody</v>
      </c>
      <c r="E137" s="6" t="str">
        <f>APPRENANTS!F137</f>
        <v/>
      </c>
      <c r="F137" s="9" t="str">
        <f t="shared" si="2"/>
        <v/>
      </c>
      <c r="G137" s="6" t="str">
        <f>APPRENANTS!G137</f>
        <v>Améliorer l'efficacité de sa TPE à l'aide de l'IA</v>
      </c>
      <c r="H137" s="11">
        <v>0.0</v>
      </c>
      <c r="I137" s="11">
        <v>1500.0</v>
      </c>
      <c r="J137" s="6">
        <f>IF(APPRENANTS!Y137="Oui",IF(H137&gt;0,825,750),0)</f>
        <v>750</v>
      </c>
      <c r="K137" s="11" t="s">
        <v>68</v>
      </c>
      <c r="L137" s="6" t="str">
        <f>IF(APPRENANTS!Y137="Non","Inscription non confirmee",IF(K137="Oui","Payee",IF(F137="","",IF(TODAY()&gt;=F137,"En retard - a verser","A venir"))))</f>
        <v/>
      </c>
      <c r="M137" s="6" t="str">
        <f t="shared" si="3"/>
        <v/>
      </c>
      <c r="N137" s="6" t="str">
        <f>APPRENANTS!Y137</f>
        <v>Oui</v>
      </c>
      <c r="O137" s="6">
        <f t="shared" ref="O137:P137" si="138">IF($N137="Oui",I137,0)</f>
        <v>1500</v>
      </c>
      <c r="P137" s="6">
        <f t="shared" si="138"/>
        <v>750</v>
      </c>
    </row>
    <row r="138" ht="15.0" customHeight="1">
      <c r="A138" s="6" t="str">
        <f>APPRENANTS!A138</f>
        <v>Proskills Institut</v>
      </c>
      <c r="B138" s="6" t="str">
        <f>APPRENANTS!B138</f>
        <v>BIANCO Sebastien</v>
      </c>
      <c r="C138" s="6" t="str">
        <f>APPRENANTS!D138</f>
        <v>25 AV De la Petite Suisse 13012 MARSEILLE</v>
      </c>
      <c r="D138" s="6" t="str">
        <f>APPRENANTS!C138</f>
        <v>Djody</v>
      </c>
      <c r="E138" s="6" t="str">
        <f>APPRENANTS!F138</f>
        <v/>
      </c>
      <c r="F138" s="9" t="str">
        <f t="shared" si="2"/>
        <v/>
      </c>
      <c r="G138" s="6" t="str">
        <f>APPRENANTS!G138</f>
        <v>Communiquer sur les réseaux sociaux pour promouvoir sa TPE</v>
      </c>
      <c r="H138" s="11">
        <v>0.0</v>
      </c>
      <c r="I138" s="11">
        <v>1500.0</v>
      </c>
      <c r="J138" s="6">
        <f>IF(APPRENANTS!Y138="Oui",IF(H138&gt;0,825,750),0)</f>
        <v>750</v>
      </c>
      <c r="K138" s="11" t="s">
        <v>68</v>
      </c>
      <c r="L138" s="6" t="str">
        <f>IF(APPRENANTS!Y138="Non","Inscription non confirmee",IF(K138="Oui","Payee",IF(F138="","",IF(TODAY()&gt;=F138,"En retard - a verser","A venir"))))</f>
        <v/>
      </c>
      <c r="M138" s="6" t="str">
        <f t="shared" si="3"/>
        <v/>
      </c>
      <c r="N138" s="6" t="str">
        <f>APPRENANTS!Y138</f>
        <v>Oui</v>
      </c>
      <c r="O138" s="6">
        <f t="shared" ref="O138:P138" si="139">IF($N138="Oui",I138,0)</f>
        <v>1500</v>
      </c>
      <c r="P138" s="6">
        <f t="shared" si="139"/>
        <v>750</v>
      </c>
    </row>
    <row r="139" ht="15.0" customHeight="1">
      <c r="A139" s="6" t="str">
        <f>APPRENANTS!A139</f>
        <v>Proskills Institut</v>
      </c>
      <c r="B139" s="6" t="str">
        <f>APPRENANTS!B139</f>
        <v>BIANCO Sebastien</v>
      </c>
      <c r="C139" s="6" t="str">
        <f>APPRENANTS!D139</f>
        <v>25 AV De la Petite Suisse 13012 MARSEILLE</v>
      </c>
      <c r="D139" s="6" t="str">
        <f>APPRENANTS!C139</f>
        <v>Djody</v>
      </c>
      <c r="E139" s="6" t="str">
        <f>APPRENANTS!F139</f>
        <v/>
      </c>
      <c r="F139" s="9" t="str">
        <f t="shared" si="2"/>
        <v/>
      </c>
      <c r="G139" s="6" t="str">
        <f>APPRENANTS!G139</f>
        <v>Réaliser les opérations comptables courantes d'une TPE</v>
      </c>
      <c r="H139" s="11">
        <v>0.0</v>
      </c>
      <c r="I139" s="11">
        <v>1500.0</v>
      </c>
      <c r="J139" s="6">
        <f>IF(APPRENANTS!Y139="Oui",IF(H139&gt;0,825,750),0)</f>
        <v>750</v>
      </c>
      <c r="K139" s="11" t="s">
        <v>68</v>
      </c>
      <c r="L139" s="6" t="str">
        <f>IF(APPRENANTS!Y139="Non","Inscription non confirmee",IF(K139="Oui","Payee",IF(F139="","",IF(TODAY()&gt;=F139,"En retard - a verser","A venir"))))</f>
        <v/>
      </c>
      <c r="M139" s="6" t="str">
        <f t="shared" si="3"/>
        <v/>
      </c>
      <c r="N139" s="6" t="str">
        <f>APPRENANTS!Y139</f>
        <v>Oui</v>
      </c>
      <c r="O139" s="6">
        <f t="shared" ref="O139:P139" si="140">IF($N139="Oui",I139,0)</f>
        <v>1500</v>
      </c>
      <c r="P139" s="6">
        <f t="shared" si="140"/>
        <v>750</v>
      </c>
    </row>
    <row r="140" ht="15.0" customHeight="1">
      <c r="A140" s="6" t="str">
        <f>APPRENANTS!A140</f>
        <v>Proskills Institut</v>
      </c>
      <c r="B140" s="6" t="str">
        <f>APPRENANTS!B140</f>
        <v>FRANGIAN David</v>
      </c>
      <c r="C140" s="6" t="str">
        <f>APPRENANTS!D140</f>
        <v>1 RUE Du malagroy 13140 MIRAMAS</v>
      </c>
      <c r="D140" s="6" t="str">
        <f>APPRENANTS!C140</f>
        <v>Sabri</v>
      </c>
      <c r="E140" s="6" t="str">
        <f>APPRENANTS!F140</f>
        <v/>
      </c>
      <c r="F140" s="9" t="str">
        <f t="shared" si="2"/>
        <v/>
      </c>
      <c r="G140" s="6" t="str">
        <f>APPRENANTS!G140</f>
        <v>Améliorer l'efficacité de sa TPE à l'aide de l'IA</v>
      </c>
      <c r="H140" s="11">
        <v>0.0</v>
      </c>
      <c r="I140" s="11">
        <v>1500.0</v>
      </c>
      <c r="J140" s="6">
        <f>IF(APPRENANTS!Y140="Oui",IF(H140&gt;0,825,750),0)</f>
        <v>750</v>
      </c>
      <c r="K140" s="11" t="s">
        <v>68</v>
      </c>
      <c r="L140" s="6" t="str">
        <f>IF(APPRENANTS!Y140="Non","Inscription non confirmee",IF(K140="Oui","Payee",IF(F140="","",IF(TODAY()&gt;=F140,"En retard - a verser","A venir"))))</f>
        <v/>
      </c>
      <c r="M140" s="6" t="str">
        <f t="shared" si="3"/>
        <v/>
      </c>
      <c r="N140" s="6" t="str">
        <f>APPRENANTS!Y140</f>
        <v>Oui</v>
      </c>
      <c r="O140" s="6">
        <f t="shared" ref="O140:P140" si="141">IF($N140="Oui",I140,0)</f>
        <v>1500</v>
      </c>
      <c r="P140" s="6">
        <f t="shared" si="141"/>
        <v>750</v>
      </c>
    </row>
    <row r="141" ht="15.0" customHeight="1">
      <c r="A141" s="6" t="str">
        <f>APPRENANTS!A141</f>
        <v>Proskills Institut</v>
      </c>
      <c r="B141" s="6" t="str">
        <f>APPRENANTS!B141</f>
        <v>BOGGIO Issan</v>
      </c>
      <c r="C141" s="6" t="str">
        <f>APPRENANTS!D141</f>
        <v>Améliorer l'efficacité de sa TPE à l'aide de l'IA</v>
      </c>
      <c r="D141" s="6" t="str">
        <f>APPRENANTS!C141</f>
        <v>Sabri</v>
      </c>
      <c r="E141" s="6" t="str">
        <f>APPRENANTS!F141</f>
        <v>2026-08-01</v>
      </c>
      <c r="F141" s="9">
        <f t="shared" si="2"/>
        <v>46270</v>
      </c>
      <c r="G141" s="6" t="str">
        <f>APPRENANTS!G141</f>
        <v>Accepté</v>
      </c>
      <c r="H141" s="11">
        <v>0.0</v>
      </c>
      <c r="I141" s="11">
        <v>1500.0</v>
      </c>
      <c r="J141" s="6">
        <f>IF(APPRENANTS!Y141="Oui",IF(H141&gt;0,825,750),0)</f>
        <v>750</v>
      </c>
      <c r="K141" s="11" t="s">
        <v>68</v>
      </c>
      <c r="L141" s="6" t="str">
        <f>IF(APPRENANTS!Y141="Non","Inscription non confirmee",IF(K141="Oui","Payee",IF(F141="","",IF(TODAY()&gt;=F141,"En retard - a verser","A venir"))))</f>
        <v>A venir</v>
      </c>
      <c r="M141" s="6" t="str">
        <f t="shared" si="3"/>
        <v>septembre 2026</v>
      </c>
      <c r="N141" s="6" t="str">
        <f>APPRENANTS!Y141</f>
        <v>Oui</v>
      </c>
      <c r="O141" s="6">
        <f t="shared" ref="O141:P141" si="142">IF($N141="Oui",I141,0)</f>
        <v>1500</v>
      </c>
      <c r="P141" s="6">
        <f t="shared" si="142"/>
        <v>750</v>
      </c>
    </row>
    <row r="142" ht="15.0" customHeight="1">
      <c r="A142" s="6" t="str">
        <f>APPRENANTS!A142</f>
        <v>Proskills Institut</v>
      </c>
      <c r="B142" s="6" t="str">
        <f>APPRENANTS!B142</f>
        <v>BOGGIO Issan</v>
      </c>
      <c r="C142" s="6" t="str">
        <f>APPRENANTS!D142</f>
        <v>Communiquer sur les réseaux sociaux pour promouvoir sa TPE</v>
      </c>
      <c r="D142" s="6" t="str">
        <f>APPRENANTS!C142</f>
        <v>Sabri</v>
      </c>
      <c r="E142" s="6" t="str">
        <f>APPRENANTS!F142</f>
        <v>2026-08-08</v>
      </c>
      <c r="F142" s="9">
        <f t="shared" si="2"/>
        <v>46277</v>
      </c>
      <c r="G142" s="6" t="str">
        <f>APPRENANTS!G142</f>
        <v>Accepté</v>
      </c>
      <c r="H142" s="11">
        <v>0.0</v>
      </c>
      <c r="I142" s="11">
        <v>1500.0</v>
      </c>
      <c r="J142" s="6">
        <f>IF(APPRENANTS!Y142="Oui",IF(H142&gt;0,825,750),0)</f>
        <v>750</v>
      </c>
      <c r="K142" s="11" t="s">
        <v>68</v>
      </c>
      <c r="L142" s="6" t="str">
        <f>IF(APPRENANTS!Y142="Non","Inscription non confirmee",IF(K142="Oui","Payee",IF(F142="","",IF(TODAY()&gt;=F142,"En retard - a verser","A venir"))))</f>
        <v>A venir</v>
      </c>
      <c r="M142" s="6" t="str">
        <f t="shared" si="3"/>
        <v>septembre 2026</v>
      </c>
      <c r="N142" s="6" t="str">
        <f>APPRENANTS!Y142</f>
        <v>Oui</v>
      </c>
      <c r="O142" s="6">
        <f t="shared" ref="O142:P142" si="143">IF($N142="Oui",I142,0)</f>
        <v>1500</v>
      </c>
      <c r="P142" s="6">
        <f t="shared" si="143"/>
        <v>750</v>
      </c>
    </row>
    <row r="143" ht="15.0" customHeight="1">
      <c r="A143" s="6" t="str">
        <f>APPRENANTS!A143</f>
        <v>Proskills Institut</v>
      </c>
      <c r="B143" s="6" t="str">
        <f>APPRENANTS!B143</f>
        <v>BOGGIO Issan</v>
      </c>
      <c r="C143" s="6" t="str">
        <f>APPRENANTS!D143</f>
        <v>Réaliser les opérations comptables courantes d'une TPE</v>
      </c>
      <c r="D143" s="6" t="str">
        <f>APPRENANTS!C143</f>
        <v>Sabri</v>
      </c>
      <c r="E143" s="6" t="str">
        <f>APPRENANTS!F143</f>
        <v>2026-08-15</v>
      </c>
      <c r="F143" s="9">
        <f t="shared" si="2"/>
        <v>46284</v>
      </c>
      <c r="G143" s="6" t="str">
        <f>APPRENANTS!G143</f>
        <v>Accepté</v>
      </c>
      <c r="H143" s="11">
        <v>0.0</v>
      </c>
      <c r="I143" s="11">
        <v>1500.0</v>
      </c>
      <c r="J143" s="6">
        <f>IF(APPRENANTS!Y143="Oui",IF(H143&gt;0,825,750),0)</f>
        <v>750</v>
      </c>
      <c r="K143" s="11" t="s">
        <v>68</v>
      </c>
      <c r="L143" s="6" t="str">
        <f>IF(APPRENANTS!Y143="Non","Inscription non confirmee",IF(K143="Oui","Payee",IF(F143="","",IF(TODAY()&gt;=F143,"En retard - a verser","A venir"))))</f>
        <v>A venir</v>
      </c>
      <c r="M143" s="6" t="str">
        <f t="shared" si="3"/>
        <v>septembre 2026</v>
      </c>
      <c r="N143" s="6" t="str">
        <f>APPRENANTS!Y143</f>
        <v>Oui</v>
      </c>
      <c r="O143" s="6">
        <f t="shared" ref="O143:P143" si="144">IF($N143="Oui",I143,0)</f>
        <v>1500</v>
      </c>
      <c r="P143" s="6">
        <f t="shared" si="144"/>
        <v>750</v>
      </c>
    </row>
    <row r="144" ht="15.0" customHeight="1">
      <c r="A144" s="6" t="str">
        <f>APPRENANTS!A144</f>
        <v>Proskills Institut</v>
      </c>
      <c r="B144" s="6" t="str">
        <f>APPRENANTS!B144</f>
        <v>ARGOUBI Mohamed-Salah</v>
      </c>
      <c r="C144" s="6" t="str">
        <f>APPRENANTS!D144</f>
        <v>Améliorer l'efficacité de sa TPE à l'aide de l'IA</v>
      </c>
      <c r="D144" s="6" t="str">
        <f>APPRENANTS!C144</f>
        <v>Sabri</v>
      </c>
      <c r="E144" s="6" t="str">
        <f>APPRENANTS!F144</f>
        <v>2026-08-01</v>
      </c>
      <c r="F144" s="9">
        <f t="shared" si="2"/>
        <v>46270</v>
      </c>
      <c r="G144" s="6" t="str">
        <f>APPRENANTS!G144</f>
        <v>Accepté</v>
      </c>
      <c r="H144" s="11">
        <v>0.0</v>
      </c>
      <c r="I144" s="11">
        <v>1500.0</v>
      </c>
      <c r="J144" s="6">
        <f>IF(APPRENANTS!Y144="Oui",IF(H144&gt;0,825,750),0)</f>
        <v>750</v>
      </c>
      <c r="K144" s="11" t="s">
        <v>68</v>
      </c>
      <c r="L144" s="6" t="str">
        <f>IF(APPRENANTS!Y144="Non","Inscription non confirmee",IF(K144="Oui","Payee",IF(F144="","",IF(TODAY()&gt;=F144,"En retard - a verser","A venir"))))</f>
        <v>A venir</v>
      </c>
      <c r="M144" s="6" t="str">
        <f t="shared" si="3"/>
        <v>septembre 2026</v>
      </c>
      <c r="N144" s="6" t="str">
        <f>APPRENANTS!Y144</f>
        <v>Oui</v>
      </c>
      <c r="O144" s="6">
        <f t="shared" ref="O144:P144" si="145">IF($N144="Oui",I144,0)</f>
        <v>1500</v>
      </c>
      <c r="P144" s="6">
        <f t="shared" si="145"/>
        <v>750</v>
      </c>
    </row>
    <row r="145" ht="15.0" customHeight="1">
      <c r="A145" s="6" t="str">
        <f>APPRENANTS!A145</f>
        <v>Proskills Institut</v>
      </c>
      <c r="B145" s="6" t="str">
        <f>APPRENANTS!B145</f>
        <v>ARGOUBI Mohamed-Salah</v>
      </c>
      <c r="C145" s="6" t="str">
        <f>APPRENANTS!D145</f>
        <v>Communiquer sur les réseaux sociaux pour promouvoir sa TPE</v>
      </c>
      <c r="D145" s="6" t="str">
        <f>APPRENANTS!C145</f>
        <v>Sabri</v>
      </c>
      <c r="E145" s="6" t="str">
        <f>APPRENANTS!F145</f>
        <v>2026-08-08</v>
      </c>
      <c r="F145" s="9">
        <f t="shared" si="2"/>
        <v>46277</v>
      </c>
      <c r="G145" s="6" t="str">
        <f>APPRENANTS!G145</f>
        <v>Accepté</v>
      </c>
      <c r="H145" s="11">
        <v>0.0</v>
      </c>
      <c r="I145" s="11">
        <v>1500.0</v>
      </c>
      <c r="J145" s="6">
        <f>IF(APPRENANTS!Y145="Oui",IF(H145&gt;0,825,750),0)</f>
        <v>750</v>
      </c>
      <c r="K145" s="11" t="s">
        <v>68</v>
      </c>
      <c r="L145" s="6" t="str">
        <f>IF(APPRENANTS!Y145="Non","Inscription non confirmee",IF(K145="Oui","Payee",IF(F145="","",IF(TODAY()&gt;=F145,"En retard - a verser","A venir"))))</f>
        <v>A venir</v>
      </c>
      <c r="M145" s="6" t="str">
        <f t="shared" si="3"/>
        <v>septembre 2026</v>
      </c>
      <c r="N145" s="6" t="str">
        <f>APPRENANTS!Y145</f>
        <v>Oui</v>
      </c>
      <c r="O145" s="6">
        <f t="shared" ref="O145:P145" si="146">IF($N145="Oui",I145,0)</f>
        <v>1500</v>
      </c>
      <c r="P145" s="6">
        <f t="shared" si="146"/>
        <v>750</v>
      </c>
    </row>
    <row r="146" ht="15.0" customHeight="1">
      <c r="A146" s="6" t="str">
        <f>APPRENANTS!A146</f>
        <v>Proskills Institut</v>
      </c>
      <c r="B146" s="6" t="str">
        <f>APPRENANTS!B146</f>
        <v>CHAOUCH Nabil</v>
      </c>
      <c r="C146" s="6" t="str">
        <f>APPRENANTS!D146</f>
        <v>Développer son activité avec l'intelligence artificielle</v>
      </c>
      <c r="D146" s="6" t="str">
        <f>APPRENANTS!C146</f>
        <v>GRAS</v>
      </c>
      <c r="E146" s="6" t="str">
        <f>APPRENANTS!F146</f>
        <v>2026-08-03</v>
      </c>
      <c r="F146" s="9">
        <f t="shared" si="2"/>
        <v>46272</v>
      </c>
      <c r="G146" s="6" t="str">
        <f>APPRENANTS!G146</f>
        <v>en attente</v>
      </c>
      <c r="H146" s="11">
        <v>0.0</v>
      </c>
      <c r="I146" s="11">
        <v>1500.0</v>
      </c>
      <c r="J146" s="6">
        <f>IF(APPRENANTS!Y146="Oui",IF(H146&gt;0,825,750),0)</f>
        <v>750</v>
      </c>
      <c r="K146" s="11" t="s">
        <v>68</v>
      </c>
      <c r="L146" s="6" t="str">
        <f>IF(APPRENANTS!Y146="Non","Inscription non confirmee",IF(K146="Oui","Payee",IF(F146="","",IF(TODAY()&gt;=F146,"En retard - a verser","A venir"))))</f>
        <v>A venir</v>
      </c>
      <c r="M146" s="6" t="str">
        <f t="shared" si="3"/>
        <v>septembre 2026</v>
      </c>
      <c r="N146" s="6" t="str">
        <f>APPRENANTS!Y146</f>
        <v>Oui</v>
      </c>
      <c r="O146" s="6">
        <f t="shared" ref="O146:P146" si="147">IF($N146="Oui",I146,0)</f>
        <v>1500</v>
      </c>
      <c r="P146" s="6">
        <f t="shared" si="147"/>
        <v>750</v>
      </c>
    </row>
    <row r="147" ht="15.0" customHeight="1">
      <c r="A147" s="6" t="str">
        <f>APPRENANTS!A147</f>
        <v>Proskills Institut</v>
      </c>
      <c r="B147" s="6" t="str">
        <f>APPRENANTS!B147</f>
        <v>BESSA Oussama</v>
      </c>
      <c r="C147" s="6" t="str">
        <f>APPRENANTS!D147</f>
        <v>Communiquer sur les réseaux sociaux pour promouvoir sa TPE</v>
      </c>
      <c r="D147" s="6" t="str">
        <f>APPRENANTS!C147</f>
        <v>Jean</v>
      </c>
      <c r="E147" s="6" t="str">
        <f>APPRENANTS!F147</f>
        <v>2026-08-08</v>
      </c>
      <c r="F147" s="9">
        <f t="shared" si="2"/>
        <v>46277</v>
      </c>
      <c r="G147" s="6" t="str">
        <f>APPRENANTS!G147</f>
        <v>en attente</v>
      </c>
      <c r="H147" s="11">
        <v>0.0</v>
      </c>
      <c r="I147" s="11">
        <v>1500.0</v>
      </c>
      <c r="J147" s="6">
        <f>IF(APPRENANTS!Y147="Oui",IF(H147&gt;0,825,750),0)</f>
        <v>750</v>
      </c>
      <c r="K147" s="11" t="s">
        <v>68</v>
      </c>
      <c r="L147" s="6" t="str">
        <f>IF(APPRENANTS!Y147="Non","Inscription non confirmee",IF(K147="Oui","Payee",IF(F147="","",IF(TODAY()&gt;=F147,"En retard - a verser","A venir"))))</f>
        <v>A venir</v>
      </c>
      <c r="M147" s="6" t="str">
        <f t="shared" si="3"/>
        <v>septembre 2026</v>
      </c>
      <c r="N147" s="6" t="str">
        <f>APPRENANTS!Y147</f>
        <v>Oui</v>
      </c>
      <c r="O147" s="6">
        <f t="shared" ref="O147:P147" si="148">IF($N147="Oui",I147,0)</f>
        <v>1500</v>
      </c>
      <c r="P147" s="6">
        <f t="shared" si="148"/>
        <v>750</v>
      </c>
    </row>
    <row r="148" ht="15.0" customHeight="1">
      <c r="A148" s="6" t="str">
        <f>APPRENANTS!A148</f>
        <v>Proskills Institut</v>
      </c>
      <c r="B148" s="6" t="str">
        <f>APPRENANTS!B148</f>
        <v>BESSA Oussama</v>
      </c>
      <c r="C148" s="6" t="str">
        <f>APPRENANTS!D148</f>
        <v>Réaliser les opérations comptables courantes d'une TPE</v>
      </c>
      <c r="D148" s="6" t="str">
        <f>APPRENANTS!C148</f>
        <v>Jean</v>
      </c>
      <c r="E148" s="6" t="str">
        <f>APPRENANTS!F148</f>
        <v>2026-08-15</v>
      </c>
      <c r="F148" s="9">
        <f t="shared" si="2"/>
        <v>46284</v>
      </c>
      <c r="G148" s="6" t="str">
        <f>APPRENANTS!G148</f>
        <v>en attente</v>
      </c>
      <c r="H148" s="11">
        <v>0.0</v>
      </c>
      <c r="I148" s="11">
        <v>1500.0</v>
      </c>
      <c r="J148" s="6">
        <f>IF(APPRENANTS!Y148="Oui",IF(H148&gt;0,825,750),0)</f>
        <v>750</v>
      </c>
      <c r="K148" s="11" t="s">
        <v>68</v>
      </c>
      <c r="L148" s="6" t="str">
        <f>IF(APPRENANTS!Y148="Non","Inscription non confirmee",IF(K148="Oui","Payee",IF(F148="","",IF(TODAY()&gt;=F148,"En retard - a verser","A venir"))))</f>
        <v>A venir</v>
      </c>
      <c r="M148" s="6" t="str">
        <f t="shared" si="3"/>
        <v>septembre 2026</v>
      </c>
      <c r="N148" s="6" t="str">
        <f>APPRENANTS!Y148</f>
        <v>Oui</v>
      </c>
      <c r="O148" s="6">
        <f t="shared" ref="O148:P148" si="149">IF($N148="Oui",I148,0)</f>
        <v>1500</v>
      </c>
      <c r="P148" s="6">
        <f t="shared" si="149"/>
        <v>750</v>
      </c>
    </row>
    <row r="149" ht="15.0" customHeight="1">
      <c r="A149" s="6" t="str">
        <f>APPRENANTS!A149</f>
        <v>Proskills Institut</v>
      </c>
      <c r="B149" s="6" t="str">
        <f>APPRENANTS!B149</f>
        <v>NOUIRI Ryad</v>
      </c>
      <c r="C149" s="6" t="str">
        <f>APPRENANTS!D149</f>
        <v>Développer son activité avec l'intelligence artificielle</v>
      </c>
      <c r="D149" s="6" t="str">
        <f>APPRENANTS!C149</f>
        <v>GRAS</v>
      </c>
      <c r="E149" s="6" t="str">
        <f>APPRENANTS!F149</f>
        <v>2026-08-15</v>
      </c>
      <c r="F149" s="9">
        <f t="shared" si="2"/>
        <v>46284</v>
      </c>
      <c r="G149" s="6" t="str">
        <f>APPRENANTS!G149</f>
        <v>en attente</v>
      </c>
      <c r="H149" s="11">
        <v>0.0</v>
      </c>
      <c r="I149" s="11">
        <v>1500.0</v>
      </c>
      <c r="J149" s="6">
        <f>IF(APPRENANTS!Y149="Oui",IF(H149&gt;0,825,750),0)</f>
        <v>0</v>
      </c>
      <c r="K149" s="11" t="s">
        <v>68</v>
      </c>
      <c r="L149" s="6" t="str">
        <f>IF(APPRENANTS!Y149="Non","Inscription non confirmee",IF(K149="Oui","Payee",IF(F149="","",IF(TODAY()&gt;=F149,"En retard - a verser","A venir"))))</f>
        <v>Inscription non confirmee</v>
      </c>
      <c r="M149" s="6" t="str">
        <f t="shared" si="3"/>
        <v>septembre 2026</v>
      </c>
      <c r="N149" s="6" t="str">
        <f>APPRENANTS!Y149</f>
        <v>Non</v>
      </c>
      <c r="O149" s="6">
        <f t="shared" ref="O149:P149" si="150">IF($N149="Oui",I149,0)</f>
        <v>0</v>
      </c>
      <c r="P149" s="6">
        <f t="shared" si="150"/>
        <v>0</v>
      </c>
    </row>
    <row r="150" ht="15.0" customHeight="1">
      <c r="A150" s="6" t="str">
        <f>APPRENANTS!A150</f>
        <v>Proskills Institut</v>
      </c>
      <c r="B150" s="6" t="str">
        <f>APPRENANTS!B150</f>
        <v>RUIZ Thomas</v>
      </c>
      <c r="C150" s="6" t="str">
        <f>APPRENANTS!D150</f>
        <v>Développer son activité avec l'intelligence artificielle</v>
      </c>
      <c r="D150" s="6" t="str">
        <f>APPRENANTS!C150</f>
        <v>GRAS</v>
      </c>
      <c r="E150" s="6" t="str">
        <f>APPRENANTS!F150</f>
        <v>2026-08-15</v>
      </c>
      <c r="F150" s="9">
        <f t="shared" si="2"/>
        <v>46284</v>
      </c>
      <c r="G150" s="6" t="str">
        <f>APPRENANTS!G150</f>
        <v>Accepté</v>
      </c>
      <c r="H150" s="11">
        <v>0.0</v>
      </c>
      <c r="I150" s="11">
        <v>1500.0</v>
      </c>
      <c r="J150" s="6">
        <f>IF(APPRENANTS!Y150="Oui",IF(H150&gt;0,825,750),0)</f>
        <v>0</v>
      </c>
      <c r="K150" s="11" t="s">
        <v>68</v>
      </c>
      <c r="L150" s="6" t="str">
        <f>IF(APPRENANTS!Y150="Non","Inscription non confirmee",IF(K150="Oui","Payee",IF(F150="","",IF(TODAY()&gt;=F150,"En retard - a verser","A venir"))))</f>
        <v>Inscription non confirmee</v>
      </c>
      <c r="M150" s="6" t="str">
        <f t="shared" si="3"/>
        <v>septembre 2026</v>
      </c>
      <c r="N150" s="6" t="str">
        <f>APPRENANTS!Y150</f>
        <v>Non</v>
      </c>
      <c r="O150" s="6">
        <f t="shared" ref="O150:P150" si="151">IF($N150="Oui",I150,0)</f>
        <v>0</v>
      </c>
      <c r="P150" s="6">
        <f t="shared" si="151"/>
        <v>0</v>
      </c>
    </row>
    <row r="151" ht="15.0" customHeight="1">
      <c r="A151" s="6" t="str">
        <f>APPRENANTS!A151</f>
        <v>Proskills Institut</v>
      </c>
      <c r="B151" s="6" t="str">
        <f>APPRENANTS!B151</f>
        <v>BOGGIO Andre</v>
      </c>
      <c r="C151" s="6" t="str">
        <f>APPRENANTS!D151</f>
        <v>Améliorer l'efficacité de sa TPE à l'aide de l'IA</v>
      </c>
      <c r="D151" s="6" t="str">
        <f>APPRENANTS!C151</f>
        <v>Sabri</v>
      </c>
      <c r="E151" s="6" t="str">
        <f>APPRENANTS!F151</f>
        <v>2026-08-22</v>
      </c>
      <c r="F151" s="9">
        <f t="shared" si="2"/>
        <v>46291</v>
      </c>
      <c r="G151" s="6" t="str">
        <f>APPRENANTS!G151</f>
        <v>en attente</v>
      </c>
      <c r="H151" s="11">
        <v>0.0</v>
      </c>
      <c r="I151" s="11">
        <v>1500.0</v>
      </c>
      <c r="J151" s="6">
        <f>IF(APPRENANTS!Y151="Oui",IF(H151&gt;0,825,750),0)</f>
        <v>0</v>
      </c>
      <c r="K151" s="11" t="s">
        <v>68</v>
      </c>
      <c r="L151" s="6" t="str">
        <f>IF(APPRENANTS!Y151="Non","Inscription non confirmee",IF(K151="Oui","Payee",IF(F151="","",IF(TODAY()&gt;=F151,"En retard - a verser","A venir"))))</f>
        <v>Inscription non confirmee</v>
      </c>
      <c r="M151" s="6" t="str">
        <f t="shared" si="3"/>
        <v>septembre 2026</v>
      </c>
      <c r="N151" s="6" t="str">
        <f>APPRENANTS!Y151</f>
        <v>Non</v>
      </c>
      <c r="O151" s="6">
        <f t="shared" ref="O151:P151" si="152">IF($N151="Oui",I151,0)</f>
        <v>0</v>
      </c>
      <c r="P151" s="6">
        <f t="shared" si="152"/>
        <v>0</v>
      </c>
    </row>
    <row r="152" ht="15.0" customHeight="1">
      <c r="A152" s="6" t="str">
        <f>APPRENANTS!A152</f>
        <v>Proskills Institut</v>
      </c>
      <c r="B152" s="6" t="str">
        <f>APPRENANTS!B152</f>
        <v>BOGGIO Andre</v>
      </c>
      <c r="C152" s="6" t="str">
        <f>APPRENANTS!D152</f>
        <v>Communiquer sur les réseaux sociaux pour promouvoir sa TPE</v>
      </c>
      <c r="D152" s="6" t="str">
        <f>APPRENANTS!C152</f>
        <v>Sabri</v>
      </c>
      <c r="E152" s="6" t="str">
        <f>APPRENANTS!F152</f>
        <v>2026-08-08</v>
      </c>
      <c r="F152" s="9">
        <f t="shared" si="2"/>
        <v>46277</v>
      </c>
      <c r="G152" s="6" t="str">
        <f>APPRENANTS!G152</f>
        <v>en attente</v>
      </c>
      <c r="H152" s="11">
        <v>0.0</v>
      </c>
      <c r="I152" s="11">
        <v>1500.0</v>
      </c>
      <c r="J152" s="6">
        <f>IF(APPRENANTS!Y152="Oui",IF(H152&gt;0,825,750),0)</f>
        <v>0</v>
      </c>
      <c r="K152" s="11" t="s">
        <v>68</v>
      </c>
      <c r="L152" s="6" t="str">
        <f>IF(APPRENANTS!Y152="Non","Inscription non confirmee",IF(K152="Oui","Payee",IF(F152="","",IF(TODAY()&gt;=F152,"En retard - a verser","A venir"))))</f>
        <v>Inscription non confirmee</v>
      </c>
      <c r="M152" s="6" t="str">
        <f t="shared" si="3"/>
        <v>septembre 2026</v>
      </c>
      <c r="N152" s="6" t="str">
        <f>APPRENANTS!Y152</f>
        <v>Non</v>
      </c>
      <c r="O152" s="6">
        <f t="shared" ref="O152:P152" si="153">IF($N152="Oui",I152,0)</f>
        <v>0</v>
      </c>
      <c r="P152" s="6">
        <f t="shared" si="153"/>
        <v>0</v>
      </c>
    </row>
    <row r="153" ht="15.0" customHeight="1">
      <c r="A153" s="6" t="str">
        <f>APPRENANTS!A153</f>
        <v>Proskills Institut</v>
      </c>
      <c r="B153" s="6" t="str">
        <f>APPRENANTS!B153</f>
        <v>BOGGIO Andre</v>
      </c>
      <c r="C153" s="6" t="str">
        <f>APPRENANTS!D153</f>
        <v>Réaliser les opérations comptables courantes d'une TPE</v>
      </c>
      <c r="D153" s="6" t="str">
        <f>APPRENANTS!C153</f>
        <v>Sabri</v>
      </c>
      <c r="E153" s="6" t="str">
        <f>APPRENANTS!F153</f>
        <v>2026-08-15</v>
      </c>
      <c r="F153" s="9">
        <f t="shared" si="2"/>
        <v>46284</v>
      </c>
      <c r="G153" s="6" t="str">
        <f>APPRENANTS!G153</f>
        <v>en attente</v>
      </c>
      <c r="H153" s="11">
        <v>0.0</v>
      </c>
      <c r="I153" s="11">
        <v>1500.0</v>
      </c>
      <c r="J153" s="6">
        <f>IF(APPRENANTS!Y153="Oui",IF(H153&gt;0,825,750),0)</f>
        <v>0</v>
      </c>
      <c r="K153" s="11" t="s">
        <v>68</v>
      </c>
      <c r="L153" s="6" t="str">
        <f>IF(APPRENANTS!Y153="Non","Inscription non confirmee",IF(K153="Oui","Payee",IF(F153="","",IF(TODAY()&gt;=F153,"En retard - a verser","A venir"))))</f>
        <v>Inscription non confirmee</v>
      </c>
      <c r="M153" s="6" t="str">
        <f t="shared" si="3"/>
        <v>septembre 2026</v>
      </c>
      <c r="N153" s="6" t="str">
        <f>APPRENANTS!Y153</f>
        <v>Non</v>
      </c>
      <c r="O153" s="6">
        <f t="shared" ref="O153:P153" si="154">IF($N153="Oui",I153,0)</f>
        <v>0</v>
      </c>
      <c r="P153" s="6">
        <f t="shared" si="154"/>
        <v>0</v>
      </c>
    </row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P$153"/>
  <conditionalFormatting sqref="K2:K153">
    <cfRule type="expression" dxfId="0" priority="1">
      <formula>$K2="Oui"</formula>
    </cfRule>
  </conditionalFormatting>
  <conditionalFormatting sqref="K2:K153">
    <cfRule type="expression" dxfId="1" priority="2">
      <formula>$K2="Non"</formula>
    </cfRule>
  </conditionalFormatting>
  <conditionalFormatting sqref="L2:L153">
    <cfRule type="expression" dxfId="1" priority="3">
      <formula>$L2="En retard - a verser"</formula>
    </cfRule>
  </conditionalFormatting>
  <conditionalFormatting sqref="L2:L153">
    <cfRule type="expression" dxfId="0" priority="4">
      <formula>$L2="Payee"</formula>
    </cfRule>
  </conditionalFormatting>
  <conditionalFormatting sqref="L2:L153">
    <cfRule type="expression" dxfId="1" priority="5">
      <formula>$L2="Inscription non confirmee"</formula>
    </cfRule>
  </conditionalFormatting>
  <conditionalFormatting sqref="N2:N153">
    <cfRule type="expression" dxfId="0" priority="6">
      <formula>N2="Oui"</formula>
    </cfRule>
  </conditionalFormatting>
  <conditionalFormatting sqref="N2:N153">
    <cfRule type="expression" dxfId="1" priority="7">
      <formula>N2="Non"</formula>
    </cfRule>
  </conditionalFormatting>
  <dataValidations>
    <dataValidation type="list" allowBlank="1" showErrorMessage="1" sqref="K2:K153">
      <formula1>"Oui,Non"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2.63" defaultRowHeight="15.0"/>
  <cols>
    <col customWidth="1" min="1" max="1" width="22.0"/>
    <col customWidth="1" min="2" max="2" width="16.0"/>
    <col customWidth="1" min="3" max="3" width="13.0"/>
    <col customWidth="1" min="4" max="4" width="11.0"/>
    <col customWidth="1" min="5" max="5" width="32.0"/>
    <col customWidth="1" min="6" max="7" width="13.0"/>
    <col customWidth="1" min="8" max="8" width="30.0"/>
    <col customWidth="1" min="9" max="9" width="26.0"/>
    <col customWidth="1" min="10" max="11" width="13.0"/>
    <col customWidth="1" min="12" max="12" width="16.0"/>
    <col customWidth="1" min="13" max="13" width="13.0"/>
    <col customWidth="1" min="14" max="15" width="10.0"/>
    <col customWidth="1" min="16" max="17" width="40.0"/>
    <col customWidth="1" min="18" max="18" width="13.0"/>
    <col customWidth="1" min="19" max="19" width="20.0"/>
    <col customWidth="1" min="20" max="20" width="38.25"/>
    <col customWidth="1" min="21" max="21" width="34.38"/>
    <col customWidth="1" min="22" max="22" width="20.0"/>
    <col customWidth="1" min="23" max="23" width="8.63"/>
    <col customWidth="1" min="24" max="24" width="20.0"/>
    <col customWidth="1" min="25" max="26" width="8.63"/>
  </cols>
  <sheetData>
    <row r="1" ht="19.5" customHeight="1">
      <c r="A1" s="17" t="s">
        <v>346</v>
      </c>
    </row>
    <row r="2" ht="15.0" customHeight="1">
      <c r="A2" s="6"/>
    </row>
    <row r="3" ht="15.0" customHeight="1">
      <c r="A3" s="18" t="s">
        <v>348</v>
      </c>
    </row>
    <row r="4" ht="15.0" customHeight="1">
      <c r="A4" s="18" t="s">
        <v>349</v>
      </c>
    </row>
    <row r="5" ht="15.0" customHeight="1">
      <c r="A5" s="18" t="s">
        <v>352</v>
      </c>
    </row>
    <row r="6" ht="15.0" customHeight="1">
      <c r="A6" s="18" t="s">
        <v>354</v>
      </c>
    </row>
    <row r="7" ht="15.0" customHeight="1">
      <c r="A7" s="6"/>
    </row>
    <row r="8" ht="15.0" customHeight="1">
      <c r="A8" s="18" t="s">
        <v>355</v>
      </c>
      <c r="T8" s="19" t="s">
        <v>356</v>
      </c>
    </row>
    <row r="9" ht="15.0" customHeight="1">
      <c r="A9" s="18" t="s">
        <v>357</v>
      </c>
    </row>
    <row r="10" ht="15.0" customHeight="1">
      <c r="A10" s="18" t="s">
        <v>358</v>
      </c>
    </row>
    <row r="11" ht="15.0" customHeight="1">
      <c r="A11" s="18" t="s">
        <v>359</v>
      </c>
    </row>
    <row r="12" ht="39.0" customHeight="1">
      <c r="A12" s="2" t="s">
        <v>3</v>
      </c>
      <c r="B12" s="2" t="s">
        <v>0</v>
      </c>
      <c r="C12" s="2" t="s">
        <v>5</v>
      </c>
      <c r="D12" s="2" t="s">
        <v>18</v>
      </c>
      <c r="E12" s="2" t="s">
        <v>8</v>
      </c>
      <c r="F12" s="2" t="s">
        <v>15</v>
      </c>
      <c r="G12" s="2" t="s">
        <v>17</v>
      </c>
      <c r="H12" s="2" t="s">
        <v>16</v>
      </c>
      <c r="I12" s="2" t="s">
        <v>19</v>
      </c>
      <c r="J12" s="2" t="s">
        <v>25</v>
      </c>
      <c r="K12" s="2" t="s">
        <v>23</v>
      </c>
      <c r="L12" s="2" t="s">
        <v>360</v>
      </c>
      <c r="M12" s="2" t="s">
        <v>361</v>
      </c>
      <c r="N12" s="2" t="s">
        <v>362</v>
      </c>
      <c r="O12" s="2" t="s">
        <v>363</v>
      </c>
      <c r="P12" s="2" t="s">
        <v>364</v>
      </c>
      <c r="Q12" s="2" t="s">
        <v>365</v>
      </c>
      <c r="R12" s="2" t="s">
        <v>366</v>
      </c>
      <c r="S12" s="2" t="s">
        <v>367</v>
      </c>
      <c r="T12" s="2" t="s">
        <v>368</v>
      </c>
      <c r="U12" s="2" t="s">
        <v>369</v>
      </c>
      <c r="V12" s="2" t="s">
        <v>370</v>
      </c>
      <c r="W12" s="2" t="s">
        <v>371</v>
      </c>
      <c r="X12" s="20" t="s">
        <v>34</v>
      </c>
    </row>
    <row r="13" ht="15.0" customHeight="1">
      <c r="A13" s="6" t="str">
        <f>APPRENANTS!B2</f>
        <v>Mohamed Ait Baha</v>
      </c>
      <c r="B13" s="6" t="str">
        <f>APPRENANTS!A2</f>
        <v>Proforma Institut</v>
      </c>
      <c r="C13" s="6" t="str">
        <f>APPRENANTS!C2</f>
        <v>Djody</v>
      </c>
      <c r="D13" s="6" t="str">
        <f>APPRENANTS!G2</f>
        <v>Payé</v>
      </c>
      <c r="E13" s="6" t="str">
        <f>APPRENANTS!D2</f>
        <v>Réaliser les opérations comptables courantes d'une TPE</v>
      </c>
      <c r="F13" s="6" t="str">
        <f>APPRENANTS!E2</f>
        <v>2026-02-18</v>
      </c>
      <c r="G13" s="6" t="str">
        <f>APPRENANTS!F2</f>
        <v>2026-03-06</v>
      </c>
      <c r="H13" s="6" t="str">
        <f>APPRENANTS!H2</f>
        <v>141 BD Maréchal Juin, 62110 HENIN BEAUMONT</v>
      </c>
      <c r="I13" s="6" t="str">
        <f>APPRENANTS!I2</f>
        <v>mohamed.aitbaha@hotmail.fr</v>
      </c>
      <c r="J13" s="6" t="str">
        <f>APPRENANTS!J2</f>
        <v>782270615</v>
      </c>
      <c r="K13" s="6" t="str">
        <f>APPRENANTS!K2</f>
        <v>1982-09-04</v>
      </c>
      <c r="L13" s="11"/>
      <c r="M13" s="11"/>
      <c r="N13" s="6" t="str">
        <f>'WEDOF - EXAMEN FINAL'!D2</f>
        <v>A faire</v>
      </c>
      <c r="O13" s="6" t="str">
        <f>'WEDOF - EXAMEN FINAL'!E2</f>
        <v>A faire</v>
      </c>
      <c r="P13" s="6" t="str">
        <f>'WEDOF - EXAMEN FINAL'!H2</f>
        <v/>
      </c>
      <c r="Q13" s="6" t="str">
        <f>'WEDOF - EXAMEN FINAL'!F2</f>
        <v>A faire</v>
      </c>
      <c r="R13" s="11"/>
      <c r="S13" s="6">
        <f>'PAIEMENTS &amp; COMMISSIONS'!I2</f>
        <v>1500</v>
      </c>
      <c r="T13" s="6" t="b">
        <f t="shared" ref="T13:T164" si="2">IF(AND($E13&lt;&gt;"",$F13&lt;&gt;"",$G13&lt;&gt;"",$X13="Oui"),TRUE(),FALSE())</f>
        <v>1</v>
      </c>
      <c r="U13" s="6" t="b">
        <f t="shared" ref="U13:U164" si="3">IF(AND($O13="Fait",OR($N13="Fait",$P13&lt;&gt;""),$X13="Oui"),TRUE(),FALSE())</f>
        <v>0</v>
      </c>
      <c r="V13" s="11" t="b">
        <f t="shared" ref="V13:W13" si="1">FALSE()</f>
        <v>0</v>
      </c>
      <c r="W13" s="11" t="b">
        <f t="shared" si="1"/>
        <v>0</v>
      </c>
      <c r="X13" s="10" t="str">
        <f>APPRENANTS!Y2</f>
        <v>Oui</v>
      </c>
    </row>
    <row r="14" ht="15.0" customHeight="1">
      <c r="A14" s="6" t="str">
        <f>APPRENANTS!B3</f>
        <v>Frederic Roche</v>
      </c>
      <c r="B14" s="6" t="str">
        <f>APPRENANTS!A3</f>
        <v>Proforma Institut</v>
      </c>
      <c r="C14" s="6" t="str">
        <f>APPRENANTS!C3</f>
        <v>Nedjma</v>
      </c>
      <c r="D14" s="6" t="str">
        <f>APPRENANTS!G3</f>
        <v>Payé</v>
      </c>
      <c r="E14" s="6" t="str">
        <f>APPRENANTS!D3</f>
        <v>Réaliser les opérations comptables courantes d'une TPE</v>
      </c>
      <c r="F14" s="6" t="str">
        <f>APPRENANTS!E3</f>
        <v>2026-02-18</v>
      </c>
      <c r="G14" s="6" t="str">
        <f>APPRENANTS!F3</f>
        <v>2026-03-06</v>
      </c>
      <c r="H14" s="6" t="str">
        <f>APPRENANTS!H3</f>
        <v>10 AV Des mimosas, 13015 MARSEILLE</v>
      </c>
      <c r="I14" s="6" t="str">
        <f>APPRENANTS!I3</f>
        <v>fred_mars13@hotmail.fr</v>
      </c>
      <c r="J14" s="6" t="str">
        <f>APPRENANTS!J3</f>
        <v>613637315</v>
      </c>
      <c r="K14" s="6" t="str">
        <f>APPRENANTS!K3</f>
        <v>18/02/1981</v>
      </c>
      <c r="L14" s="11"/>
      <c r="M14" s="11"/>
      <c r="N14" s="6" t="str">
        <f>'WEDOF - EXAMEN FINAL'!D3</f>
        <v>Fait</v>
      </c>
      <c r="O14" s="6" t="str">
        <f>'WEDOF - EXAMEN FINAL'!E3</f>
        <v>A faire</v>
      </c>
      <c r="P14" s="6" t="str">
        <f>'WEDOF - EXAMEN FINAL'!H3</f>
        <v>depuis 2004 effage construction ( 7 rue du devoir effage construction sud est  ) manoeuvre, 3 AN 2008 AIDE COFFREUR 210 ET DEPUII 2015 230</v>
      </c>
      <c r="Q14" s="6" t="str">
        <f>'WEDOF - EXAMEN FINAL'!F3</f>
        <v>Fait</v>
      </c>
      <c r="R14" s="11"/>
      <c r="S14" s="6">
        <f>'PAIEMENTS &amp; COMMISSIONS'!I3</f>
        <v>1500</v>
      </c>
      <c r="T14" s="6" t="b">
        <f t="shared" si="2"/>
        <v>1</v>
      </c>
      <c r="U14" s="6" t="b">
        <f t="shared" si="3"/>
        <v>0</v>
      </c>
      <c r="V14" s="11" t="b">
        <f t="shared" ref="V14:W14" si="4">FALSE()</f>
        <v>0</v>
      </c>
      <c r="W14" s="11" t="b">
        <f t="shared" si="4"/>
        <v>0</v>
      </c>
      <c r="X14" s="10" t="str">
        <f>APPRENANTS!Y3</f>
        <v>Oui</v>
      </c>
    </row>
    <row r="15" ht="15.0" customHeight="1">
      <c r="A15" s="6" t="str">
        <f>APPRENANTS!B4</f>
        <v>SIAF Kamla</v>
      </c>
      <c r="B15" s="6" t="str">
        <f>APPRENANTS!A4</f>
        <v>Proforma Institut</v>
      </c>
      <c r="C15" s="6" t="str">
        <f>APPRENANTS!C4</f>
        <v>Nedjma</v>
      </c>
      <c r="D15" s="6" t="str">
        <f>APPRENANTS!G4</f>
        <v>Payé</v>
      </c>
      <c r="E15" s="6" t="str">
        <f>APPRENANTS!D4</f>
        <v>Réaliser les opérations comptables courantes d'une TPE</v>
      </c>
      <c r="F15" s="6" t="str">
        <f>APPRENANTS!E4</f>
        <v>2026-03-09</v>
      </c>
      <c r="G15" s="6" t="str">
        <f>APPRENANTS!F4</f>
        <v>2026-03-27</v>
      </c>
      <c r="H15" s="6" t="str">
        <f>APPRENANTS!H4</f>
        <v>171 AV du Merlan, 13014 MARSEILLE</v>
      </c>
      <c r="I15" s="6" t="str">
        <f>APPRENANTS!I4</f>
        <v>mimisiaf@gmail.com</v>
      </c>
      <c r="J15" s="6" t="str">
        <f>APPRENANTS!J4</f>
        <v>629924780</v>
      </c>
      <c r="K15" s="6" t="str">
        <f>APPRENANTS!K4</f>
        <v>13/08/1965</v>
      </c>
      <c r="L15" s="11"/>
      <c r="M15" s="11"/>
      <c r="N15" s="6" t="str">
        <f>'WEDOF - EXAMEN FINAL'!D4</f>
        <v>A faire</v>
      </c>
      <c r="O15" s="6" t="str">
        <f>'WEDOF - EXAMEN FINAL'!E4</f>
        <v>A faire</v>
      </c>
      <c r="P15" s="6" t="str">
        <f>'WEDOF - EXAMEN FINAL'!H4</f>
        <v/>
      </c>
      <c r="Q15" s="6" t="str">
        <f>'WEDOF - EXAMEN FINAL'!F4</f>
        <v>A faire</v>
      </c>
      <c r="R15" s="11"/>
      <c r="S15" s="6">
        <f>'PAIEMENTS &amp; COMMISSIONS'!I4</f>
        <v>1500</v>
      </c>
      <c r="T15" s="6" t="b">
        <f t="shared" si="2"/>
        <v>1</v>
      </c>
      <c r="U15" s="6" t="b">
        <f t="shared" si="3"/>
        <v>0</v>
      </c>
      <c r="V15" s="11" t="b">
        <f t="shared" ref="V15:W15" si="5">FALSE()</f>
        <v>0</v>
      </c>
      <c r="W15" s="11" t="b">
        <f t="shared" si="5"/>
        <v>0</v>
      </c>
      <c r="X15" s="10" t="str">
        <f>APPRENANTS!Y4</f>
        <v>Oui</v>
      </c>
    </row>
    <row r="16" ht="15.0" customHeight="1">
      <c r="A16" s="6" t="str">
        <f>APPRENANTS!B5</f>
        <v>HAFIDHOU Mansouri</v>
      </c>
      <c r="B16" s="6" t="str">
        <f>APPRENANTS!A5</f>
        <v>Proforma Institut</v>
      </c>
      <c r="C16" s="6" t="str">
        <f>APPRENANTS!C5</f>
        <v>Nedjma</v>
      </c>
      <c r="D16" s="6" t="str">
        <f>APPRENANTS!G5</f>
        <v>Payé</v>
      </c>
      <c r="E16" s="6" t="str">
        <f>APPRENANTS!D5</f>
        <v>Réaliser les opérations comptables courantes d'une TPE</v>
      </c>
      <c r="F16" s="6" t="str">
        <f>APPRENANTS!E5</f>
        <v>2026-03-09</v>
      </c>
      <c r="G16" s="6" t="str">
        <f>APPRENANTS!F5</f>
        <v>2026-03-27</v>
      </c>
      <c r="H16" s="6" t="str">
        <f>APPRENANTS!H5</f>
        <v>178 AV Des chutes lavie, 13013 MARSEILLE</v>
      </c>
      <c r="I16" s="6" t="str">
        <f>APPRENANTS!I5</f>
        <v>mansourihafidou@gmail.com</v>
      </c>
      <c r="J16" s="6" t="str">
        <f>APPRENANTS!J5</f>
        <v>763179407</v>
      </c>
      <c r="K16" s="6" t="str">
        <f>APPRENANTS!K5</f>
        <v>1990-07-05</v>
      </c>
      <c r="L16" s="11"/>
      <c r="M16" s="11"/>
      <c r="N16" s="6" t="str">
        <f>'WEDOF - EXAMEN FINAL'!D5</f>
        <v>Fait</v>
      </c>
      <c r="O16" s="6" t="str">
        <f>'WEDOF - EXAMEN FINAL'!E5</f>
        <v>Fait</v>
      </c>
      <c r="P16" s="6" t="str">
        <f>'WEDOF - EXAMEN FINAL'!H5</f>
        <v>10 ans eiffage coffreur depuis 3ans chef d equipe 10 ans eiffage coffreur depuis 3ans chef d equipe</v>
      </c>
      <c r="Q16" s="6" t="str">
        <f>'WEDOF - EXAMEN FINAL'!F5</f>
        <v>Fait</v>
      </c>
      <c r="R16" s="11"/>
      <c r="S16" s="6">
        <f>'PAIEMENTS &amp; COMMISSIONS'!I5</f>
        <v>1500</v>
      </c>
      <c r="T16" s="6" t="b">
        <f t="shared" si="2"/>
        <v>1</v>
      </c>
      <c r="U16" s="6" t="b">
        <f t="shared" si="3"/>
        <v>1</v>
      </c>
      <c r="V16" s="11" t="b">
        <f t="shared" ref="V16:W16" si="6">FALSE()</f>
        <v>0</v>
      </c>
      <c r="W16" s="11" t="b">
        <f t="shared" si="6"/>
        <v>0</v>
      </c>
      <c r="X16" s="10" t="str">
        <f>APPRENANTS!Y5</f>
        <v>Oui</v>
      </c>
    </row>
    <row r="17" ht="15.0" customHeight="1">
      <c r="A17" s="6" t="str">
        <f>APPRENANTS!B6</f>
        <v>DELGADO DA CRUZ Francisco</v>
      </c>
      <c r="B17" s="6" t="str">
        <f>APPRENANTS!A6</f>
        <v>Proforma Institut</v>
      </c>
      <c r="C17" s="6" t="str">
        <f>APPRENANTS!C6</f>
        <v>Nedjma</v>
      </c>
      <c r="D17" s="6" t="str">
        <f>APPRENANTS!G6</f>
        <v>Payé</v>
      </c>
      <c r="E17" s="6" t="str">
        <f>APPRENANTS!D6</f>
        <v>Réaliser les opérations comptables courantes d'une TPE</v>
      </c>
      <c r="F17" s="6" t="str">
        <f>APPRENANTS!E6</f>
        <v>2026-03-09</v>
      </c>
      <c r="G17" s="6" t="str">
        <f>APPRENANTS!F6</f>
        <v>2026-03-27</v>
      </c>
      <c r="H17" s="6" t="str">
        <f>APPRENANTS!H6</f>
        <v>29 PTR Sainte victoire, 13006 MARSEILLE</v>
      </c>
      <c r="I17" s="6" t="str">
        <f>APPRENANTS!I6</f>
        <v>chicodelgado72@gmail.com</v>
      </c>
      <c r="J17" s="6" t="str">
        <f>APPRENANTS!J6</f>
        <v>783823367</v>
      </c>
      <c r="K17" s="6" t="str">
        <f>APPRENANTS!K6</f>
        <v>1972-11-07</v>
      </c>
      <c r="L17" s="11"/>
      <c r="M17" s="11"/>
      <c r="N17" s="6" t="str">
        <f>'WEDOF - EXAMEN FINAL'!D6</f>
        <v>Fait</v>
      </c>
      <c r="O17" s="6" t="str">
        <f>'WEDOF - EXAMEN FINAL'!E6</f>
        <v>Fait</v>
      </c>
      <c r="P17" s="6" t="str">
        <f>'WEDOF - EXAMEN FINAL'!H6</f>
        <v>20 ans effage manoeuvre PUIS aide coffreur qualif 210</v>
      </c>
      <c r="Q17" s="6" t="str">
        <f>'WEDOF - EXAMEN FINAL'!F6</f>
        <v>Fait</v>
      </c>
      <c r="R17" s="11"/>
      <c r="S17" s="6">
        <f>'PAIEMENTS &amp; COMMISSIONS'!I6</f>
        <v>1500</v>
      </c>
      <c r="T17" s="6" t="b">
        <f t="shared" si="2"/>
        <v>1</v>
      </c>
      <c r="U17" s="6" t="b">
        <f t="shared" si="3"/>
        <v>1</v>
      </c>
      <c r="V17" s="11" t="b">
        <f t="shared" ref="V17:W17" si="7">FALSE()</f>
        <v>0</v>
      </c>
      <c r="W17" s="11" t="b">
        <f t="shared" si="7"/>
        <v>0</v>
      </c>
      <c r="X17" s="10" t="str">
        <f>APPRENANTS!Y6</f>
        <v>Oui</v>
      </c>
    </row>
    <row r="18" ht="15.0" customHeight="1">
      <c r="A18" s="6" t="str">
        <f>APPRENANTS!B7</f>
        <v>DOUMENC Christophe</v>
      </c>
      <c r="B18" s="6" t="str">
        <f>APPRENANTS!A7</f>
        <v>Proforma Institut</v>
      </c>
      <c r="C18" s="6" t="str">
        <f>APPRENANTS!C7</f>
        <v>Nedjma</v>
      </c>
      <c r="D18" s="6" t="str">
        <f>APPRENANTS!G7</f>
        <v>Payé</v>
      </c>
      <c r="E18" s="6" t="str">
        <f>APPRENANTS!D7</f>
        <v>Réaliser les opérations comptables courantes d'une TPE</v>
      </c>
      <c r="F18" s="6" t="str">
        <f>APPRENANTS!E7</f>
        <v>2026-03-09</v>
      </c>
      <c r="G18" s="6" t="str">
        <f>APPRENANTS!F7</f>
        <v>2026-03-27</v>
      </c>
      <c r="H18" s="6" t="str">
        <f>APPRENANTS!H7</f>
        <v>16 RUE Nicolas copernic, 13013 MARSEILLE</v>
      </c>
      <c r="I18" s="6" t="str">
        <f>APPRENANTS!I7</f>
        <v>christophedoumenc13@gmail.com</v>
      </c>
      <c r="J18" s="6" t="str">
        <f>APPRENANTS!J7</f>
        <v>681540974</v>
      </c>
      <c r="K18" s="6" t="str">
        <f>APPRENANTS!K7</f>
        <v>30/12/1972</v>
      </c>
      <c r="L18" s="11"/>
      <c r="M18" s="11"/>
      <c r="N18" s="6" t="str">
        <f>'WEDOF - EXAMEN FINAL'!D7</f>
        <v>Fait</v>
      </c>
      <c r="O18" s="6" t="str">
        <f>'WEDOF - EXAMEN FINAL'!E7</f>
        <v>Fait</v>
      </c>
      <c r="P18" s="6" t="str">
        <f>'WEDOF - EXAMEN FINAL'!H7</f>
        <v>16 ans effage grutier qualif 270 CHEF D EQUPE  ( voir parcours )</v>
      </c>
      <c r="Q18" s="6" t="str">
        <f>'WEDOF - EXAMEN FINAL'!F7</f>
        <v>Fait</v>
      </c>
      <c r="R18" s="11"/>
      <c r="S18" s="6">
        <f>'PAIEMENTS &amp; COMMISSIONS'!I7</f>
        <v>1500</v>
      </c>
      <c r="T18" s="6" t="b">
        <f t="shared" si="2"/>
        <v>1</v>
      </c>
      <c r="U18" s="6" t="b">
        <f t="shared" si="3"/>
        <v>1</v>
      </c>
      <c r="V18" s="11" t="b">
        <f t="shared" ref="V18:W18" si="8">FALSE()</f>
        <v>0</v>
      </c>
      <c r="W18" s="11" t="b">
        <f t="shared" si="8"/>
        <v>0</v>
      </c>
      <c r="X18" s="10" t="str">
        <f>APPRENANTS!Y7</f>
        <v>Oui</v>
      </c>
    </row>
    <row r="19" ht="15.0" customHeight="1">
      <c r="A19" s="6" t="str">
        <f>APPRENANTS!B8</f>
        <v>AHAMADA BOURHANE Soilihi</v>
      </c>
      <c r="B19" s="6" t="str">
        <f>APPRENANTS!A8</f>
        <v>Proforma Institut</v>
      </c>
      <c r="C19" s="6" t="str">
        <f>APPRENANTS!C8</f>
        <v>Nedjma</v>
      </c>
      <c r="D19" s="6" t="str">
        <f>APPRENANTS!G8</f>
        <v>FACTURE</v>
      </c>
      <c r="E19" s="6" t="str">
        <f>APPRENANTS!D8</f>
        <v>Réaliser les opérations comptables courantes d'une TPE</v>
      </c>
      <c r="F19" s="6" t="str">
        <f>APPRENANTS!E8</f>
        <v>2026-03-30</v>
      </c>
      <c r="G19" s="6" t="str">
        <f>APPRENANTS!F8</f>
        <v>2026-04-17</v>
      </c>
      <c r="H19" s="6" t="str">
        <f>APPRENANTS!H8</f>
        <v>257 AV Saint antoine, 13015 MARSEILLE</v>
      </c>
      <c r="I19" s="6" t="str">
        <f>APPRENANTS!I8</f>
        <v>ahamada.s@live.fr</v>
      </c>
      <c r="J19" s="6" t="str">
        <f>APPRENANTS!J8</f>
        <v>652632912</v>
      </c>
      <c r="K19" s="6" t="str">
        <f>APPRENANTS!K8</f>
        <v>22/06/1991</v>
      </c>
      <c r="L19" s="11"/>
      <c r="M19" s="11"/>
      <c r="N19" s="6" t="str">
        <f>'WEDOF - EXAMEN FINAL'!D8</f>
        <v>Fait</v>
      </c>
      <c r="O19" s="6" t="str">
        <f>'WEDOF - EXAMEN FINAL'!E8</f>
        <v>Fait</v>
      </c>
      <c r="P19" s="6" t="str">
        <f>'WEDOF - EXAMEN FINAL'!H8</f>
        <v>8 ANS EIFFAGE GRUTIER AVANT COFFREUR TRAVEAUX DU MIDI</v>
      </c>
      <c r="Q19" s="6" t="str">
        <f>'WEDOF - EXAMEN FINAL'!F8</f>
        <v>Fait</v>
      </c>
      <c r="R19" s="11"/>
      <c r="S19" s="6">
        <f>'PAIEMENTS &amp; COMMISSIONS'!I8</f>
        <v>1500</v>
      </c>
      <c r="T19" s="6" t="b">
        <f t="shared" si="2"/>
        <v>1</v>
      </c>
      <c r="U19" s="6" t="b">
        <f t="shared" si="3"/>
        <v>1</v>
      </c>
      <c r="V19" s="11" t="b">
        <f t="shared" ref="V19:W19" si="9">FALSE()</f>
        <v>0</v>
      </c>
      <c r="W19" s="11" t="b">
        <f t="shared" si="9"/>
        <v>0</v>
      </c>
      <c r="X19" s="10" t="str">
        <f>APPRENANTS!Y8</f>
        <v>Oui</v>
      </c>
    </row>
    <row r="20" ht="15.0" customHeight="1">
      <c r="A20" s="6" t="str">
        <f>APPRENANTS!B9</f>
        <v>BENGUEDIH Kader</v>
      </c>
      <c r="B20" s="6" t="str">
        <f>APPRENANTS!A9</f>
        <v>Proforma Institut</v>
      </c>
      <c r="C20" s="6" t="str">
        <f>APPRENANTS!C9</f>
        <v>Nedjma</v>
      </c>
      <c r="D20" s="6" t="str">
        <f>APPRENANTS!G9</f>
        <v>FACTURE</v>
      </c>
      <c r="E20" s="6" t="str">
        <f>APPRENANTS!D9</f>
        <v>Réaliser les opérations comptables courantes d'une TPE</v>
      </c>
      <c r="F20" s="6" t="str">
        <f>APPRENANTS!E9</f>
        <v>2026-03-30</v>
      </c>
      <c r="G20" s="6" t="str">
        <f>APPRENANTS!F9</f>
        <v>2026-04-17</v>
      </c>
      <c r="H20" s="6" t="str">
        <f>APPRENANTS!H9</f>
        <v>130 CHE Château gombert, 13013 MARSEILLE</v>
      </c>
      <c r="I20" s="6" t="str">
        <f>APPRENANTS!I9</f>
        <v>Benguedihk@yahoo.fr</v>
      </c>
      <c r="J20" s="6" t="str">
        <f>APPRENANTS!J9</f>
        <v>617440902</v>
      </c>
      <c r="K20" s="6" t="str">
        <f>APPRENANTS!K9</f>
        <v>19/08/1987</v>
      </c>
      <c r="L20" s="11"/>
      <c r="M20" s="11"/>
      <c r="N20" s="6" t="str">
        <f>'WEDOF - EXAMEN FINAL'!D9</f>
        <v>Fait</v>
      </c>
      <c r="O20" s="6" t="str">
        <f>'WEDOF - EXAMEN FINAL'!E9</f>
        <v>A faire</v>
      </c>
      <c r="P20" s="6" t="str">
        <f>'WEDOF - EXAMEN FINAL'!H9</f>
        <v>RTM AIX ET RTM MARSEILLE</v>
      </c>
      <c r="Q20" s="6" t="str">
        <f>'WEDOF - EXAMEN FINAL'!F9</f>
        <v>Fait</v>
      </c>
      <c r="R20" s="11"/>
      <c r="S20" s="6">
        <f>'PAIEMENTS &amp; COMMISSIONS'!I9</f>
        <v>1500</v>
      </c>
      <c r="T20" s="6" t="b">
        <f t="shared" si="2"/>
        <v>1</v>
      </c>
      <c r="U20" s="6" t="b">
        <f t="shared" si="3"/>
        <v>0</v>
      </c>
      <c r="V20" s="11" t="b">
        <f t="shared" ref="V20:W20" si="10">FALSE()</f>
        <v>0</v>
      </c>
      <c r="W20" s="11" t="b">
        <f t="shared" si="10"/>
        <v>0</v>
      </c>
      <c r="X20" s="10" t="str">
        <f>APPRENANTS!Y9</f>
        <v>Oui</v>
      </c>
    </row>
    <row r="21" ht="15.0" customHeight="1">
      <c r="A21" s="6" t="str">
        <f>APPRENANTS!B10</f>
        <v>Julie Scotto D Aniello</v>
      </c>
      <c r="B21" s="6" t="str">
        <f>APPRENANTS!A10</f>
        <v>Proforma Institut</v>
      </c>
      <c r="C21" s="6" t="str">
        <f>APPRENANTS!C10</f>
        <v>Sabri</v>
      </c>
      <c r="D21" s="6" t="str">
        <f>APPRENANTS!G10</f>
        <v>Payé</v>
      </c>
      <c r="E21" s="6" t="str">
        <f>APPRENANTS!D10</f>
        <v>Réaliser les opérations comptables courantes d'une TPE</v>
      </c>
      <c r="F21" s="6" t="str">
        <f>APPRENANTS!E10</f>
        <v>2026-02-18</v>
      </c>
      <c r="G21" s="6" t="str">
        <f>APPRENANTS!F10</f>
        <v>2026-03-04</v>
      </c>
      <c r="H21" s="6" t="str">
        <f>APPRENANTS!H10</f>
        <v>23 BD Boulevard Georges Clemenceau, 13700 MARIGNANE</v>
      </c>
      <c r="I21" s="6" t="str">
        <f>APPRENANTS!I10</f>
        <v>13julie@free.fr</v>
      </c>
      <c r="J21" s="6" t="str">
        <f>APPRENANTS!J10</f>
        <v>643092268</v>
      </c>
      <c r="K21" s="6" t="str">
        <f>APPRENANTS!K10</f>
        <v>1994-05-09</v>
      </c>
      <c r="L21" s="11"/>
      <c r="M21" s="11"/>
      <c r="N21" s="6" t="str">
        <f>'WEDOF - EXAMEN FINAL'!D10</f>
        <v>Fait</v>
      </c>
      <c r="O21" s="6" t="str">
        <f>'WEDOF - EXAMEN FINAL'!E10</f>
        <v>Fait</v>
      </c>
      <c r="P21" s="6" t="str">
        <f>'WEDOF - EXAMEN FINAL'!H10</f>
        <v>Renault 3 ans , estecienne à son compte et après estecienne à Humbo st vic</v>
      </c>
      <c r="Q21" s="6" t="str">
        <f>'WEDOF - EXAMEN FINAL'!F10</f>
        <v>Fait</v>
      </c>
      <c r="R21" s="11"/>
      <c r="S21" s="6">
        <f>'PAIEMENTS &amp; COMMISSIONS'!I10</f>
        <v>1500</v>
      </c>
      <c r="T21" s="6" t="b">
        <f t="shared" si="2"/>
        <v>1</v>
      </c>
      <c r="U21" s="6" t="b">
        <f t="shared" si="3"/>
        <v>1</v>
      </c>
      <c r="V21" s="11" t="b">
        <f t="shared" ref="V21:W21" si="11">FALSE()</f>
        <v>0</v>
      </c>
      <c r="W21" s="11" t="b">
        <f t="shared" si="11"/>
        <v>0</v>
      </c>
      <c r="X21" s="10" t="str">
        <f>APPRENANTS!Y10</f>
        <v>Oui</v>
      </c>
    </row>
    <row r="22" ht="15.0" customHeight="1">
      <c r="A22" s="6" t="str">
        <f>APPRENANTS!B11</f>
        <v>Malik Benameur</v>
      </c>
      <c r="B22" s="6" t="str">
        <f>APPRENANTS!A11</f>
        <v>Proforma Institut</v>
      </c>
      <c r="C22" s="6" t="str">
        <f>APPRENANTS!C11</f>
        <v>Sabri</v>
      </c>
      <c r="D22" s="6" t="str">
        <f>APPRENANTS!G11</f>
        <v>Payé</v>
      </c>
      <c r="E22" s="6" t="str">
        <f>APPRENANTS!D11</f>
        <v>Réaliser les opérations comptables courantes d'une TPE</v>
      </c>
      <c r="F22" s="6" t="str">
        <f>APPRENANTS!E11</f>
        <v>2026-02-20</v>
      </c>
      <c r="G22" s="6" t="str">
        <f>APPRENANTS!F11</f>
        <v>2026-03-11</v>
      </c>
      <c r="H22" s="6" t="str">
        <f>APPRENANTS!H11</f>
        <v>12 RUE Pour la paix, 13120 GARDANNE</v>
      </c>
      <c r="I22" s="6" t="str">
        <f>APPRENANTS!I11</f>
        <v>Malik13950@gmail.com</v>
      </c>
      <c r="J22" s="6" t="str">
        <f>APPRENANTS!J11</f>
        <v>608544404</v>
      </c>
      <c r="K22" s="6" t="str">
        <f>APPRENANTS!K11</f>
        <v>24/06/1994</v>
      </c>
      <c r="L22" s="11"/>
      <c r="M22" s="11"/>
      <c r="N22" s="6" t="str">
        <f>'WEDOF - EXAMEN FINAL'!D11</f>
        <v>Fait</v>
      </c>
      <c r="O22" s="6" t="str">
        <f>'WEDOF - EXAMEN FINAL'!E11</f>
        <v>Fait</v>
      </c>
      <c r="P22" s="6" t="str">
        <f>'WEDOF - EXAMEN FINAL'!H11</f>
        <v>11 ans alyzia</v>
      </c>
      <c r="Q22" s="6" t="str">
        <f>'WEDOF - EXAMEN FINAL'!F11</f>
        <v>Fait</v>
      </c>
      <c r="R22" s="11"/>
      <c r="S22" s="6">
        <f>'PAIEMENTS &amp; COMMISSIONS'!I11</f>
        <v>1500</v>
      </c>
      <c r="T22" s="6" t="b">
        <f t="shared" si="2"/>
        <v>1</v>
      </c>
      <c r="U22" s="6" t="b">
        <f t="shared" si="3"/>
        <v>1</v>
      </c>
      <c r="V22" s="11" t="b">
        <f t="shared" ref="V22:W22" si="12">FALSE()</f>
        <v>0</v>
      </c>
      <c r="W22" s="11" t="b">
        <f t="shared" si="12"/>
        <v>0</v>
      </c>
      <c r="X22" s="10" t="str">
        <f>APPRENANTS!Y11</f>
        <v>Oui</v>
      </c>
    </row>
    <row r="23" ht="15.0" customHeight="1">
      <c r="A23" s="6" t="str">
        <f>APPRENANTS!B12</f>
        <v>LEROY Aurelie</v>
      </c>
      <c r="B23" s="6" t="str">
        <f>APPRENANTS!A12</f>
        <v>Proforma Institut</v>
      </c>
      <c r="C23" s="6" t="str">
        <f>APPRENANTS!C12</f>
        <v>Sabri</v>
      </c>
      <c r="D23" s="6" t="str">
        <f>APPRENANTS!G12</f>
        <v>Payé</v>
      </c>
      <c r="E23" s="6" t="str">
        <f>APPRENANTS!D12</f>
        <v>Réaliser les opérations comptables courantes d'une TPE</v>
      </c>
      <c r="F23" s="6" t="str">
        <f>APPRENANTS!E12</f>
        <v>2026-03-09</v>
      </c>
      <c r="G23" s="6" t="str">
        <f>APPRENANTS!F12</f>
        <v>2026-03-27</v>
      </c>
      <c r="H23" s="6" t="str">
        <f>APPRENANTS!H12</f>
        <v>335 CHE Chemin des romarins, 13820 ENSUES LA REDONNE</v>
      </c>
      <c r="I23" s="6" t="str">
        <f>APPRENANTS!I12</f>
        <v>aurelie542@hotmail.fr</v>
      </c>
      <c r="J23" s="6" t="str">
        <f>APPRENANTS!J12</f>
        <v>631344712</v>
      </c>
      <c r="K23" s="6" t="str">
        <f>APPRENANTS!K12</f>
        <v>1986-04-07</v>
      </c>
      <c r="L23" s="11"/>
      <c r="M23" s="11"/>
      <c r="N23" s="6" t="str">
        <f>'WEDOF - EXAMEN FINAL'!D12</f>
        <v>Fait</v>
      </c>
      <c r="O23" s="6" t="str">
        <f>'WEDOF - EXAMEN FINAL'!E12</f>
        <v>Fait</v>
      </c>
      <c r="P23" s="6" t="str">
        <f>'WEDOF - EXAMEN FINAL'!H12</f>
        <v>Chômage et avant chez pas je demande si tu ve</v>
      </c>
      <c r="Q23" s="6" t="str">
        <f>'WEDOF - EXAMEN FINAL'!F12</f>
        <v>Fait</v>
      </c>
      <c r="R23" s="11"/>
      <c r="S23" s="6">
        <f>'PAIEMENTS &amp; COMMISSIONS'!I12</f>
        <v>1500</v>
      </c>
      <c r="T23" s="6" t="b">
        <f t="shared" si="2"/>
        <v>1</v>
      </c>
      <c r="U23" s="6" t="b">
        <f t="shared" si="3"/>
        <v>1</v>
      </c>
      <c r="V23" s="11" t="b">
        <f t="shared" ref="V23:W23" si="13">FALSE()</f>
        <v>0</v>
      </c>
      <c r="W23" s="11" t="b">
        <f t="shared" si="13"/>
        <v>0</v>
      </c>
      <c r="X23" s="10" t="str">
        <f>APPRENANTS!Y12</f>
        <v>Oui</v>
      </c>
    </row>
    <row r="24" ht="15.0" customHeight="1">
      <c r="A24" s="6" t="str">
        <f>APPRENANTS!B13</f>
        <v>SANIGOU Livan</v>
      </c>
      <c r="B24" s="6" t="str">
        <f>APPRENANTS!A13</f>
        <v>Proforma Institut</v>
      </c>
      <c r="C24" s="6" t="str">
        <f>APPRENANTS!C13</f>
        <v>Sabri</v>
      </c>
      <c r="D24" s="6" t="str">
        <f>APPRENANTS!G13</f>
        <v>Payé</v>
      </c>
      <c r="E24" s="6" t="str">
        <f>APPRENANTS!D13</f>
        <v>Réaliser les opérations comptables courantes d'une TPE</v>
      </c>
      <c r="F24" s="6" t="str">
        <f>APPRENANTS!E13</f>
        <v>2026-03-09</v>
      </c>
      <c r="G24" s="6" t="str">
        <f>APPRENANTS!F13</f>
        <v>2026-03-27</v>
      </c>
      <c r="H24" s="6" t="str">
        <f>APPRENANTS!H13</f>
        <v>1 IMP Du stade, 13080 AIX EN PROVENCE</v>
      </c>
      <c r="I24" s="6" t="str">
        <f>APPRENANTS!I13</f>
        <v>livansanigou@yahoo.fr</v>
      </c>
      <c r="J24" s="6" t="str">
        <f>APPRENANTS!J13</f>
        <v>775959572</v>
      </c>
      <c r="K24" s="6" t="str">
        <f>APPRENANTS!K13</f>
        <v>19/10/1983</v>
      </c>
      <c r="L24" s="11"/>
      <c r="M24" s="11"/>
      <c r="N24" s="6" t="str">
        <f>'WEDOF - EXAMEN FINAL'!D13</f>
        <v>Fait</v>
      </c>
      <c r="O24" s="6" t="str">
        <f>'WEDOF - EXAMEN FINAL'!E13</f>
        <v>Fait</v>
      </c>
      <c r="P24" s="6" t="str">
        <f>'WEDOF - EXAMEN FINAL'!H13</f>
        <v>20 ans carrefour à Aix et 1 ans alyzia</v>
      </c>
      <c r="Q24" s="6" t="str">
        <f>'WEDOF - EXAMEN FINAL'!F13</f>
        <v>Fait</v>
      </c>
      <c r="R24" s="11"/>
      <c r="S24" s="6">
        <f>'PAIEMENTS &amp; COMMISSIONS'!I13</f>
        <v>1500</v>
      </c>
      <c r="T24" s="6" t="b">
        <f t="shared" si="2"/>
        <v>1</v>
      </c>
      <c r="U24" s="6" t="b">
        <f t="shared" si="3"/>
        <v>1</v>
      </c>
      <c r="V24" s="11" t="b">
        <f t="shared" ref="V24:W24" si="14">FALSE()</f>
        <v>0</v>
      </c>
      <c r="W24" s="11" t="b">
        <f t="shared" si="14"/>
        <v>0</v>
      </c>
      <c r="X24" s="10" t="str">
        <f>APPRENANTS!Y13</f>
        <v>Oui</v>
      </c>
    </row>
    <row r="25" ht="15.0" customHeight="1">
      <c r="A25" s="6" t="str">
        <f>APPRENANTS!B14</f>
        <v>GUILLOT Romain</v>
      </c>
      <c r="B25" s="6" t="str">
        <f>APPRENANTS!A14</f>
        <v>Proforma Institut</v>
      </c>
      <c r="C25" s="6" t="str">
        <f>APPRENANTS!C14</f>
        <v>Sabri</v>
      </c>
      <c r="D25" s="6" t="str">
        <f>APPRENANTS!G14</f>
        <v>Payé</v>
      </c>
      <c r="E25" s="6" t="str">
        <f>APPRENANTS!D14</f>
        <v>Réaliser les opérations comptables courantes d'une TPE</v>
      </c>
      <c r="F25" s="6" t="str">
        <f>APPRENANTS!E14</f>
        <v>2026-03-09</v>
      </c>
      <c r="G25" s="6" t="str">
        <f>APPRENANTS!F14</f>
        <v>2026-03-27</v>
      </c>
      <c r="H25" s="6" t="str">
        <f>APPRENANTS!H14</f>
        <v>150 RUE Du groupe Manouchian, 13130 BERRE L ETANG</v>
      </c>
      <c r="I25" s="6" t="str">
        <f>APPRENANTS!I14</f>
        <v>romain.guillot82@gmail.com</v>
      </c>
      <c r="J25" s="6" t="str">
        <f>APPRENANTS!J14</f>
        <v>623318286</v>
      </c>
      <c r="K25" s="6" t="str">
        <f>APPRENANTS!K14</f>
        <v>30/10/1991</v>
      </c>
      <c r="L25" s="11"/>
      <c r="M25" s="11"/>
      <c r="N25" s="6" t="str">
        <f>'WEDOF - EXAMEN FINAL'!D14</f>
        <v>Fait</v>
      </c>
      <c r="O25" s="6" t="str">
        <f>'WEDOF - EXAMEN FINAL'!E14</f>
        <v>Fait</v>
      </c>
      <c r="P25" s="6" t="str">
        <f>'WEDOF - EXAMEN FINAL'!H14</f>
        <v>5 ans daher 5 ans Airbus</v>
      </c>
      <c r="Q25" s="6" t="str">
        <f>'WEDOF - EXAMEN FINAL'!F14</f>
        <v>Fait</v>
      </c>
      <c r="R25" s="11"/>
      <c r="S25" s="6">
        <f>'PAIEMENTS &amp; COMMISSIONS'!I14</f>
        <v>1500</v>
      </c>
      <c r="T25" s="6" t="b">
        <f t="shared" si="2"/>
        <v>1</v>
      </c>
      <c r="U25" s="6" t="b">
        <f t="shared" si="3"/>
        <v>1</v>
      </c>
      <c r="V25" s="11" t="b">
        <f t="shared" ref="V25:W25" si="15">FALSE()</f>
        <v>0</v>
      </c>
      <c r="W25" s="11" t="b">
        <f t="shared" si="15"/>
        <v>0</v>
      </c>
      <c r="X25" s="10" t="str">
        <f>APPRENANTS!Y14</f>
        <v>Oui</v>
      </c>
    </row>
    <row r="26" ht="15.0" customHeight="1">
      <c r="A26" s="6" t="str">
        <f>APPRENANTS!B15</f>
        <v>Eric Poggi</v>
      </c>
      <c r="B26" s="6" t="str">
        <f>APPRENANTS!A15</f>
        <v>Proforma Institut</v>
      </c>
      <c r="C26" s="6" t="str">
        <f>APPRENANTS!C15</f>
        <v>Sabri</v>
      </c>
      <c r="D26" s="6" t="str">
        <f>APPRENANTS!G15</f>
        <v>Payé</v>
      </c>
      <c r="E26" s="6" t="str">
        <f>APPRENANTS!D15</f>
        <v>Développer son activité avec l’intelligence artificielle</v>
      </c>
      <c r="F26" s="6" t="str">
        <f>APPRENANTS!E15</f>
        <v>2026-03-23</v>
      </c>
      <c r="G26" s="6" t="str">
        <f>APPRENANTS!F15</f>
        <v>2026-04-03</v>
      </c>
      <c r="H26" s="6" t="str">
        <f>APPRENANTS!H15</f>
        <v>RUE Lieutenant de vaisseau Le Bris, 13127 VITROLLES</v>
      </c>
      <c r="I26" s="6" t="str">
        <f>APPRENANTS!I15</f>
        <v>ericpoggi13130@gmail.com</v>
      </c>
      <c r="J26" s="6" t="str">
        <f>APPRENANTS!J15</f>
        <v>614893272</v>
      </c>
      <c r="K26" s="6" t="str">
        <f>APPRENANTS!K15</f>
        <v>27/08/1979</v>
      </c>
      <c r="L26" s="11"/>
      <c r="M26" s="11"/>
      <c r="N26" s="6" t="str">
        <f>'WEDOF - EXAMEN FINAL'!D15</f>
        <v>Fait</v>
      </c>
      <c r="O26" s="6" t="str">
        <f>'WEDOF - EXAMEN FINAL'!E15</f>
        <v>Fait</v>
      </c>
      <c r="P26" s="6" t="str">
        <f>'WEDOF - EXAMEN FINAL'!H15</f>
        <v>10 ans alyzia</v>
      </c>
      <c r="Q26" s="6" t="str">
        <f>'WEDOF - EXAMEN FINAL'!F15</f>
        <v>Fait</v>
      </c>
      <c r="R26" s="11"/>
      <c r="S26" s="6">
        <f>'PAIEMENTS &amp; COMMISSIONS'!I15</f>
        <v>1500</v>
      </c>
      <c r="T26" s="6" t="b">
        <f t="shared" si="2"/>
        <v>1</v>
      </c>
      <c r="U26" s="6" t="b">
        <f t="shared" si="3"/>
        <v>1</v>
      </c>
      <c r="V26" s="11" t="b">
        <f t="shared" ref="V26:W26" si="16">FALSE()</f>
        <v>0</v>
      </c>
      <c r="W26" s="11" t="b">
        <f t="shared" si="16"/>
        <v>0</v>
      </c>
      <c r="X26" s="10" t="str">
        <f>APPRENANTS!Y15</f>
        <v>Oui</v>
      </c>
    </row>
    <row r="27" ht="15.0" customHeight="1">
      <c r="A27" s="6" t="str">
        <f>APPRENANTS!B16</f>
        <v>SCOTTO D ANIELLO Lisa</v>
      </c>
      <c r="B27" s="6" t="str">
        <f>APPRENANTS!A16</f>
        <v>Proforma Institut</v>
      </c>
      <c r="C27" s="6" t="str">
        <f>APPRENANTS!C16</f>
        <v>Sabri</v>
      </c>
      <c r="D27" s="6" t="str">
        <f>APPRENANTS!G16</f>
        <v>Payé</v>
      </c>
      <c r="E27" s="6" t="str">
        <f>APPRENANTS!D16</f>
        <v>Développer son activité avec l’intelligence artificielle</v>
      </c>
      <c r="F27" s="6" t="str">
        <f>APPRENANTS!E16</f>
        <v>2026-03-23</v>
      </c>
      <c r="G27" s="6" t="str">
        <f>APPRENANTS!F16</f>
        <v>2026-04-03</v>
      </c>
      <c r="H27" s="6" t="str">
        <f>APPRENANTS!H16</f>
        <v>SQ Louison bobet, 13700 MARIGNANE</v>
      </c>
      <c r="I27" s="6" t="str">
        <f>APPRENANTS!I16</f>
        <v>scottodaniellolisa@gmail.com</v>
      </c>
      <c r="J27" s="6" t="str">
        <f>APPRENANTS!J16</f>
        <v>646571045</v>
      </c>
      <c r="K27" s="6" t="str">
        <f>APPRENANTS!K16</f>
        <v>23/11/1996</v>
      </c>
      <c r="L27" s="11"/>
      <c r="M27" s="11"/>
      <c r="N27" s="6" t="str">
        <f>'WEDOF - EXAMEN FINAL'!D16</f>
        <v>Fait</v>
      </c>
      <c r="O27" s="6" t="str">
        <f>'WEDOF - EXAMEN FINAL'!E16</f>
        <v>Fait</v>
      </c>
      <c r="P27" s="6" t="str">
        <f>'WEDOF - EXAMEN FINAL'!H16</f>
        <v>5 ans Renault 3 ans crédit mutuel</v>
      </c>
      <c r="Q27" s="6" t="str">
        <f>'WEDOF - EXAMEN FINAL'!F16</f>
        <v>Fait</v>
      </c>
      <c r="R27" s="11"/>
      <c r="S27" s="6">
        <f>'PAIEMENTS &amp; COMMISSIONS'!I16</f>
        <v>1500</v>
      </c>
      <c r="T27" s="6" t="b">
        <f t="shared" si="2"/>
        <v>1</v>
      </c>
      <c r="U27" s="6" t="b">
        <f t="shared" si="3"/>
        <v>1</v>
      </c>
      <c r="V27" s="11" t="b">
        <f t="shared" ref="V27:W27" si="17">FALSE()</f>
        <v>0</v>
      </c>
      <c r="W27" s="11" t="b">
        <f t="shared" si="17"/>
        <v>0</v>
      </c>
      <c r="X27" s="10" t="str">
        <f>APPRENANTS!Y16</f>
        <v>Oui</v>
      </c>
    </row>
    <row r="28" ht="15.0" customHeight="1">
      <c r="A28" s="6" t="str">
        <f>APPRENANTS!B17</f>
        <v>Alexandre Francaux</v>
      </c>
      <c r="B28" s="6" t="str">
        <f>APPRENANTS!A17</f>
        <v>Proforma Institut</v>
      </c>
      <c r="C28" s="6" t="str">
        <f>APPRENANTS!C17</f>
        <v>Sabri</v>
      </c>
      <c r="D28" s="6" t="str">
        <f>APPRENANTS!G17</f>
        <v>Payé</v>
      </c>
      <c r="E28" s="6" t="str">
        <f>APPRENANTS!D17</f>
        <v>Développer son activité avec l’intelligence artificielle</v>
      </c>
      <c r="F28" s="6" t="str">
        <f>APPRENANTS!E17</f>
        <v>2026-03-23</v>
      </c>
      <c r="G28" s="6" t="str">
        <f>APPRENANTS!F17</f>
        <v>2026-04-03</v>
      </c>
      <c r="H28" s="6" t="str">
        <f>APPRENANTS!H17</f>
        <v>8 RUE Du Béarn, 13180 GIGNAC LA NERTHE</v>
      </c>
      <c r="I28" s="6" t="str">
        <f>APPRENANTS!I17</f>
        <v>francauxa@gmail.com</v>
      </c>
      <c r="J28" s="6" t="str">
        <f>APPRENANTS!J17</f>
        <v>641679495</v>
      </c>
      <c r="K28" s="6" t="str">
        <f>APPRENANTS!K17</f>
        <v>14/03/1998</v>
      </c>
      <c r="L28" s="11"/>
      <c r="M28" s="11"/>
      <c r="N28" s="6" t="str">
        <f>'WEDOF - EXAMEN FINAL'!D17</f>
        <v>A faire</v>
      </c>
      <c r="O28" s="6" t="str">
        <f>'WEDOF - EXAMEN FINAL'!E17</f>
        <v>Fait</v>
      </c>
      <c r="P28" s="6" t="str">
        <f>'WEDOF - EXAMEN FINAL'!H17</f>
        <v>5 ans crédit mutuel</v>
      </c>
      <c r="Q28" s="6" t="str">
        <f>'WEDOF - EXAMEN FINAL'!F17</f>
        <v>Fait</v>
      </c>
      <c r="R28" s="11"/>
      <c r="S28" s="6">
        <f>'PAIEMENTS &amp; COMMISSIONS'!I17</f>
        <v>1500</v>
      </c>
      <c r="T28" s="6" t="b">
        <f t="shared" si="2"/>
        <v>1</v>
      </c>
      <c r="U28" s="6" t="b">
        <f t="shared" si="3"/>
        <v>1</v>
      </c>
      <c r="V28" s="11" t="b">
        <f t="shared" ref="V28:W28" si="18">FALSE()</f>
        <v>0</v>
      </c>
      <c r="W28" s="11" t="b">
        <f t="shared" si="18"/>
        <v>0</v>
      </c>
      <c r="X28" s="10" t="str">
        <f>APPRENANTS!Y17</f>
        <v>Oui</v>
      </c>
    </row>
    <row r="29" ht="15.0" customHeight="1">
      <c r="A29" s="6" t="str">
        <f>APPRENANTS!B18</f>
        <v>Jauffrey Arezki</v>
      </c>
      <c r="B29" s="6" t="str">
        <f>APPRENANTS!A18</f>
        <v>Proforma Institut</v>
      </c>
      <c r="C29" s="6" t="str">
        <f>APPRENANTS!C18</f>
        <v>Sabri</v>
      </c>
      <c r="D29" s="6" t="str">
        <f>APPRENANTS!G18</f>
        <v>Payé</v>
      </c>
      <c r="E29" s="6" t="str">
        <f>APPRENANTS!D18</f>
        <v>Développer son activité avec l’intelligence artificielle</v>
      </c>
      <c r="F29" s="6" t="str">
        <f>APPRENANTS!E18</f>
        <v>2026-03-23</v>
      </c>
      <c r="G29" s="6" t="str">
        <f>APPRENANTS!F18</f>
        <v>2026-04-03</v>
      </c>
      <c r="H29" s="6" t="str">
        <f>APPRENANTS!H18</f>
        <v>4 RUE des caucaires, 13127 VITROLLES</v>
      </c>
      <c r="I29" s="6" t="str">
        <f>APPRENANTS!I18</f>
        <v>jauffrey.arezki@outlook.com</v>
      </c>
      <c r="J29" s="6" t="str">
        <f>APPRENANTS!J18</f>
        <v>771067108</v>
      </c>
      <c r="K29" s="6" t="str">
        <f>APPRENANTS!K18</f>
        <v>21/10/1997</v>
      </c>
      <c r="L29" s="11"/>
      <c r="M29" s="11"/>
      <c r="N29" s="6" t="str">
        <f>'WEDOF - EXAMEN FINAL'!D18</f>
        <v>A faire</v>
      </c>
      <c r="O29" s="6" t="str">
        <f>'WEDOF - EXAMEN FINAL'!E18</f>
        <v>Fait</v>
      </c>
      <c r="P29" s="6" t="str">
        <f>'WEDOF - EXAMEN FINAL'!H18</f>
        <v>5 ans alyzia 2 ans avia  2 ans jetex</v>
      </c>
      <c r="Q29" s="6" t="str">
        <f>'WEDOF - EXAMEN FINAL'!F18</f>
        <v>Fait</v>
      </c>
      <c r="R29" s="11"/>
      <c r="S29" s="6">
        <f>'PAIEMENTS &amp; COMMISSIONS'!I18</f>
        <v>1500</v>
      </c>
      <c r="T29" s="6" t="b">
        <f t="shared" si="2"/>
        <v>1</v>
      </c>
      <c r="U29" s="6" t="b">
        <f t="shared" si="3"/>
        <v>1</v>
      </c>
      <c r="V29" s="11" t="b">
        <f t="shared" ref="V29:W29" si="19">FALSE()</f>
        <v>0</v>
      </c>
      <c r="W29" s="11" t="b">
        <f t="shared" si="19"/>
        <v>0</v>
      </c>
      <c r="X29" s="10" t="str">
        <f>APPRENANTS!Y18</f>
        <v>Oui</v>
      </c>
    </row>
    <row r="30" ht="15.0" customHeight="1">
      <c r="A30" s="6" t="str">
        <f>APPRENANTS!B19</f>
        <v>NIEL Lucas</v>
      </c>
      <c r="B30" s="6" t="str">
        <f>APPRENANTS!A19</f>
        <v>Proforma Institut</v>
      </c>
      <c r="C30" s="6" t="str">
        <f>APPRENANTS!C19</f>
        <v>Sabri</v>
      </c>
      <c r="D30" s="6" t="str">
        <f>APPRENANTS!G19</f>
        <v>Payé</v>
      </c>
      <c r="E30" s="6" t="str">
        <f>APPRENANTS!D19</f>
        <v>Développer son activité avec l’intelligence artificielle</v>
      </c>
      <c r="F30" s="6" t="str">
        <f>APPRENANTS!E19</f>
        <v>2026-04-14</v>
      </c>
      <c r="G30" s="6" t="str">
        <f>APPRENANTS!F19</f>
        <v>2026-04-27</v>
      </c>
      <c r="H30" s="6" t="str">
        <f>APPRENANTS!H19</f>
        <v>45 RUE lagremeuse, 13100 AIX EN PROVENCE</v>
      </c>
      <c r="I30" s="6" t="str">
        <f>APPRENANTS!I19</f>
        <v>niel.lucas@outlook.fr</v>
      </c>
      <c r="J30" s="6" t="str">
        <f>APPRENANTS!J19</f>
        <v>642413718</v>
      </c>
      <c r="K30" s="6" t="str">
        <f>APPRENANTS!K19</f>
        <v>1999-08-10</v>
      </c>
      <c r="L30" s="11"/>
      <c r="M30" s="11"/>
      <c r="N30" s="6" t="str">
        <f>'WEDOF - EXAMEN FINAL'!D19</f>
        <v>Fait</v>
      </c>
      <c r="O30" s="6" t="str">
        <f>'WEDOF - EXAMEN FINAL'!E19</f>
        <v>Fait</v>
      </c>
      <c r="P30" s="6" t="str">
        <f>'WEDOF - EXAMEN FINAL'!H19</f>
        <v/>
      </c>
      <c r="Q30" s="6" t="str">
        <f>'WEDOF - EXAMEN FINAL'!F19</f>
        <v>Fait</v>
      </c>
      <c r="R30" s="11"/>
      <c r="S30" s="6">
        <f>'PAIEMENTS &amp; COMMISSIONS'!I19</f>
        <v>1500</v>
      </c>
      <c r="T30" s="6" t="b">
        <f t="shared" si="2"/>
        <v>1</v>
      </c>
      <c r="U30" s="6" t="b">
        <f t="shared" si="3"/>
        <v>1</v>
      </c>
      <c r="V30" s="11" t="b">
        <f t="shared" ref="V30:W30" si="20">FALSE()</f>
        <v>0</v>
      </c>
      <c r="W30" s="11" t="b">
        <f t="shared" si="20"/>
        <v>0</v>
      </c>
      <c r="X30" s="10" t="str">
        <f>APPRENANTS!Y19</f>
        <v>Oui</v>
      </c>
    </row>
    <row r="31" ht="15.0" customHeight="1">
      <c r="A31" s="6" t="str">
        <f>APPRENANTS!B20</f>
        <v>GIACALONE Thomas</v>
      </c>
      <c r="B31" s="6" t="str">
        <f>APPRENANTS!A20</f>
        <v>Proforma Institut</v>
      </c>
      <c r="C31" s="6" t="str">
        <f>APPRENANTS!C20</f>
        <v>Sabri</v>
      </c>
      <c r="D31" s="6" t="str">
        <f>APPRENANTS!G20</f>
        <v>Payé</v>
      </c>
      <c r="E31" s="6" t="str">
        <f>APPRENANTS!D20</f>
        <v>Développer son activité avec l’intelligence artificielle</v>
      </c>
      <c r="F31" s="6" t="str">
        <f>APPRENANTS!E20</f>
        <v>2026-04-14</v>
      </c>
      <c r="G31" s="6" t="str">
        <f>APPRENANTS!F20</f>
        <v>2026-04-27</v>
      </c>
      <c r="H31" s="6" t="str">
        <f>APPRENANTS!H20</f>
        <v>99 RUE Vielles route de la gavottes, 13170 LES PENNES MIRABEAU</v>
      </c>
      <c r="I31" s="6" t="str">
        <f>APPRENANTS!I20</f>
        <v>g-no@hotmail.fr</v>
      </c>
      <c r="J31" s="6" t="str">
        <f>APPRENANTS!J20</f>
        <v>610724860</v>
      </c>
      <c r="K31" s="6" t="str">
        <f>APPRENANTS!K20</f>
        <v>24/06/1998</v>
      </c>
      <c r="L31" s="11"/>
      <c r="M31" s="11"/>
      <c r="N31" s="6" t="str">
        <f>'WEDOF - EXAMEN FINAL'!D20</f>
        <v>Fait</v>
      </c>
      <c r="O31" s="6" t="str">
        <f>'WEDOF - EXAMEN FINAL'!E20</f>
        <v>Fait</v>
      </c>
      <c r="P31" s="6" t="str">
        <f>'WEDOF - EXAMEN FINAL'!H20</f>
        <v>9 ans alyzia</v>
      </c>
      <c r="Q31" s="6" t="str">
        <f>'WEDOF - EXAMEN FINAL'!F20</f>
        <v>Fait</v>
      </c>
      <c r="R31" s="11"/>
      <c r="S31" s="6">
        <f>'PAIEMENTS &amp; COMMISSIONS'!I20</f>
        <v>1500</v>
      </c>
      <c r="T31" s="6" t="b">
        <f t="shared" si="2"/>
        <v>1</v>
      </c>
      <c r="U31" s="6" t="b">
        <f t="shared" si="3"/>
        <v>1</v>
      </c>
      <c r="V31" s="11" t="b">
        <f t="shared" ref="V31:W31" si="21">FALSE()</f>
        <v>0</v>
      </c>
      <c r="W31" s="11" t="b">
        <f t="shared" si="21"/>
        <v>0</v>
      </c>
      <c r="X31" s="10" t="str">
        <f>APPRENANTS!Y20</f>
        <v>Oui</v>
      </c>
    </row>
    <row r="32" ht="15.0" customHeight="1">
      <c r="A32" s="6" t="str">
        <f>APPRENANTS!B21</f>
        <v>Alain PEYRON-BENOIT</v>
      </c>
      <c r="B32" s="6" t="str">
        <f>APPRENANTS!A21</f>
        <v>Proforma Institut</v>
      </c>
      <c r="C32" s="6" t="str">
        <f>APPRENANTS!C21</f>
        <v>Moh</v>
      </c>
      <c r="D32" s="6" t="str">
        <f>APPRENANTS!G21</f>
        <v>Payé</v>
      </c>
      <c r="E32" s="6" t="str">
        <f>APPRENANTS!D21</f>
        <v>Développer son activité avec l’intelligence artificielle</v>
      </c>
      <c r="F32" s="6" t="str">
        <f>APPRENANTS!E21</f>
        <v>2026-04-14</v>
      </c>
      <c r="G32" s="6" t="str">
        <f>APPRENANTS!F21</f>
        <v>2026-04-27</v>
      </c>
      <c r="H32" s="6" t="str">
        <f>APPRENANTS!H21</f>
        <v>61 BD La pinède, 13400 AUBAGNE</v>
      </c>
      <c r="I32" s="6" t="str">
        <f>APPRENANTS!I21</f>
        <v>a.benayoun13@gmail.com</v>
      </c>
      <c r="J32" s="6" t="str">
        <f>APPRENANTS!J21</f>
        <v>613252707</v>
      </c>
      <c r="K32" s="6" t="str">
        <f>APPRENANTS!K21</f>
        <v>25/07/1963</v>
      </c>
      <c r="L32" s="11"/>
      <c r="M32" s="11"/>
      <c r="N32" s="6" t="str">
        <f>'WEDOF - EXAMEN FINAL'!D21</f>
        <v>A faire</v>
      </c>
      <c r="O32" s="6" t="str">
        <f>'WEDOF - EXAMEN FINAL'!E21</f>
        <v>A faire</v>
      </c>
      <c r="P32" s="6" t="str">
        <f>'WEDOF - EXAMEN FINAL'!H21</f>
        <v/>
      </c>
      <c r="Q32" s="6" t="str">
        <f>'WEDOF - EXAMEN FINAL'!F21</f>
        <v>A faire</v>
      </c>
      <c r="R32" s="11"/>
      <c r="S32" s="6">
        <f>'PAIEMENTS &amp; COMMISSIONS'!I21</f>
        <v>1500</v>
      </c>
      <c r="T32" s="6" t="b">
        <f t="shared" si="2"/>
        <v>1</v>
      </c>
      <c r="U32" s="6" t="b">
        <f t="shared" si="3"/>
        <v>0</v>
      </c>
      <c r="V32" s="11" t="b">
        <f t="shared" ref="V32:W32" si="22">FALSE()</f>
        <v>0</v>
      </c>
      <c r="W32" s="11" t="b">
        <f t="shared" si="22"/>
        <v>0</v>
      </c>
      <c r="X32" s="10" t="str">
        <f>APPRENANTS!Y21</f>
        <v>Oui</v>
      </c>
    </row>
    <row r="33" ht="15.0" customHeight="1">
      <c r="A33" s="6" t="str">
        <f>APPRENANTS!B22</f>
        <v>TROUSSELLE Thomas</v>
      </c>
      <c r="B33" s="6" t="str">
        <f>APPRENANTS!A22</f>
        <v>Proforma Institut</v>
      </c>
      <c r="C33" s="6" t="str">
        <f>APPRENANTS!C22</f>
        <v>Moh</v>
      </c>
      <c r="D33" s="6" t="str">
        <f>APPRENANTS!G22</f>
        <v>Payé</v>
      </c>
      <c r="E33" s="6" t="str">
        <f>APPRENANTS!D22</f>
        <v>Développer son activité avec l’intelligence artificielle</v>
      </c>
      <c r="F33" s="6" t="str">
        <f>APPRENANTS!E22</f>
        <v>2026-04-14</v>
      </c>
      <c r="G33" s="6" t="str">
        <f>APPRENANTS!F22</f>
        <v>2026-04-27</v>
      </c>
      <c r="H33" s="6" t="str">
        <f>APPRENANTS!H22</f>
        <v>5 AV De la 1ere armée française, 13700 MARIGNANE</v>
      </c>
      <c r="I33" s="6" t="str">
        <f>APPRENANTS!I22</f>
        <v>Thomas.trousselle@yahoo.com</v>
      </c>
      <c r="J33" s="6" t="str">
        <f>APPRENANTS!J22</f>
        <v>669994981</v>
      </c>
      <c r="K33" s="6" t="str">
        <f>APPRENANTS!K22</f>
        <v>19/12/1997</v>
      </c>
      <c r="L33" s="11"/>
      <c r="M33" s="11"/>
      <c r="N33" s="6" t="str">
        <f>'WEDOF - EXAMEN FINAL'!D22</f>
        <v>A faire</v>
      </c>
      <c r="O33" s="6" t="str">
        <f>'WEDOF - EXAMEN FINAL'!E22</f>
        <v>A faire</v>
      </c>
      <c r="P33" s="6" t="str">
        <f>'WEDOF - EXAMEN FINAL'!H22</f>
        <v/>
      </c>
      <c r="Q33" s="6" t="str">
        <f>'WEDOF - EXAMEN FINAL'!F22</f>
        <v>A faire</v>
      </c>
      <c r="R33" s="11"/>
      <c r="S33" s="6">
        <f>'PAIEMENTS &amp; COMMISSIONS'!I22</f>
        <v>1500</v>
      </c>
      <c r="T33" s="6" t="b">
        <f t="shared" si="2"/>
        <v>1</v>
      </c>
      <c r="U33" s="6" t="b">
        <f t="shared" si="3"/>
        <v>0</v>
      </c>
      <c r="V33" s="11" t="b">
        <f t="shared" ref="V33:W33" si="23">FALSE()</f>
        <v>0</v>
      </c>
      <c r="W33" s="11" t="b">
        <f t="shared" si="23"/>
        <v>0</v>
      </c>
      <c r="X33" s="10" t="str">
        <f>APPRENANTS!Y22</f>
        <v>Oui</v>
      </c>
    </row>
    <row r="34" ht="15.0" customHeight="1">
      <c r="A34" s="6" t="str">
        <f>APPRENANTS!B23</f>
        <v>PREVOST Florian</v>
      </c>
      <c r="B34" s="6" t="str">
        <f>APPRENANTS!A23</f>
        <v>Proforma Institut</v>
      </c>
      <c r="C34" s="6" t="str">
        <f>APPRENANTS!C23</f>
        <v>Moh</v>
      </c>
      <c r="D34" s="6" t="str">
        <f>APPRENANTS!G23</f>
        <v>Payé</v>
      </c>
      <c r="E34" s="6" t="str">
        <f>APPRENANTS!D23</f>
        <v>Développer son activité avec l’intelligence artificielle</v>
      </c>
      <c r="F34" s="6" t="str">
        <f>APPRENANTS!E23</f>
        <v>2026-04-14</v>
      </c>
      <c r="G34" s="6" t="str">
        <f>APPRENANTS!F23</f>
        <v>2026-04-27</v>
      </c>
      <c r="H34" s="6" t="str">
        <f>APPRENANTS!H23</f>
        <v>24 AV merle au ponty, 13013 MARSEILLE</v>
      </c>
      <c r="I34" s="6" t="str">
        <f>APPRENANTS!I23</f>
        <v>florianprevost0@gmail.com</v>
      </c>
      <c r="J34" s="6" t="str">
        <f>APPRENANTS!J23</f>
        <v>766054536</v>
      </c>
      <c r="K34" s="6" t="str">
        <f>APPRENANTS!K23</f>
        <v>1994-02-05</v>
      </c>
      <c r="L34" s="11"/>
      <c r="M34" s="11"/>
      <c r="N34" s="6" t="str">
        <f>'WEDOF - EXAMEN FINAL'!D23</f>
        <v>A faire</v>
      </c>
      <c r="O34" s="6" t="str">
        <f>'WEDOF - EXAMEN FINAL'!E23</f>
        <v>A faire</v>
      </c>
      <c r="P34" s="6" t="str">
        <f>'WEDOF - EXAMEN FINAL'!H23</f>
        <v/>
      </c>
      <c r="Q34" s="6" t="str">
        <f>'WEDOF - EXAMEN FINAL'!F23</f>
        <v>A faire</v>
      </c>
      <c r="R34" s="11"/>
      <c r="S34" s="6">
        <f>'PAIEMENTS &amp; COMMISSIONS'!I23</f>
        <v>1500</v>
      </c>
      <c r="T34" s="6" t="b">
        <f t="shared" si="2"/>
        <v>1</v>
      </c>
      <c r="U34" s="6" t="b">
        <f t="shared" si="3"/>
        <v>0</v>
      </c>
      <c r="V34" s="11" t="b">
        <f t="shared" ref="V34:W34" si="24">FALSE()</f>
        <v>0</v>
      </c>
      <c r="W34" s="11" t="b">
        <f t="shared" si="24"/>
        <v>0</v>
      </c>
      <c r="X34" s="10" t="str">
        <f>APPRENANTS!Y23</f>
        <v>Oui</v>
      </c>
    </row>
    <row r="35" ht="15.0" customHeight="1">
      <c r="A35" s="6" t="str">
        <f>APPRENANTS!B24</f>
        <v>DJIBILIAN Yoann</v>
      </c>
      <c r="B35" s="6" t="str">
        <f>APPRENANTS!A24</f>
        <v>Proforma Institut</v>
      </c>
      <c r="C35" s="6" t="str">
        <f>APPRENANTS!C24</f>
        <v>Nedjma</v>
      </c>
      <c r="D35" s="6" t="str">
        <f>APPRENANTS!G24</f>
        <v>Payé</v>
      </c>
      <c r="E35" s="6" t="str">
        <f>APPRENANTS!D24</f>
        <v>Développer son activité avec l’intelligence artificielle</v>
      </c>
      <c r="F35" s="6" t="str">
        <f>APPRENANTS!E24</f>
        <v>2026-04-14</v>
      </c>
      <c r="G35" s="6" t="str">
        <f>APPRENANTS!F24</f>
        <v>2026-04-27</v>
      </c>
      <c r="H35" s="6" t="str">
        <f>APPRENANTS!H24</f>
        <v>18 PL place d'Amont, 13390 AURIOL</v>
      </c>
      <c r="I35" s="6" t="str">
        <f>APPRENANTS!I24</f>
        <v>yoann.djibilian@laposte.net</v>
      </c>
      <c r="J35" s="6" t="str">
        <f>APPRENANTS!J24</f>
        <v>645742336</v>
      </c>
      <c r="K35" s="6" t="str">
        <f>APPRENANTS!K24</f>
        <v>26/09/1999</v>
      </c>
      <c r="L35" s="11"/>
      <c r="M35" s="11"/>
      <c r="N35" s="6" t="str">
        <f>'WEDOF - EXAMEN FINAL'!D24</f>
        <v>A faire</v>
      </c>
      <c r="O35" s="6" t="str">
        <f>'WEDOF - EXAMEN FINAL'!E24</f>
        <v>A faire</v>
      </c>
      <c r="P35" s="6" t="str">
        <f>'WEDOF - EXAMEN FINAL'!H24</f>
        <v/>
      </c>
      <c r="Q35" s="6" t="str">
        <f>'WEDOF - EXAMEN FINAL'!F24</f>
        <v>A faire</v>
      </c>
      <c r="R35" s="11"/>
      <c r="S35" s="6">
        <f>'PAIEMENTS &amp; COMMISSIONS'!I24</f>
        <v>1500</v>
      </c>
      <c r="T35" s="6" t="b">
        <f t="shared" si="2"/>
        <v>1</v>
      </c>
      <c r="U35" s="6" t="b">
        <f t="shared" si="3"/>
        <v>0</v>
      </c>
      <c r="V35" s="11" t="b">
        <f t="shared" ref="V35:W35" si="25">FALSE()</f>
        <v>0</v>
      </c>
      <c r="W35" s="11" t="b">
        <f t="shared" si="25"/>
        <v>0</v>
      </c>
      <c r="X35" s="10" t="str">
        <f>APPRENANTS!Y24</f>
        <v>Oui</v>
      </c>
    </row>
    <row r="36" ht="15.0" customHeight="1">
      <c r="A36" s="6" t="str">
        <f>APPRENANTS!B25</f>
        <v>ROUAISSI Moncef</v>
      </c>
      <c r="B36" s="6" t="str">
        <f>APPRENANTS!A25</f>
        <v>Proforma Institut</v>
      </c>
      <c r="C36" s="6" t="str">
        <f>APPRENANTS!C25</f>
        <v>Nedjma</v>
      </c>
      <c r="D36" s="6" t="str">
        <f>APPRENANTS!G25</f>
        <v>Payé</v>
      </c>
      <c r="E36" s="6" t="str">
        <f>APPRENANTS!D25</f>
        <v>Développer son activité avec l’intelligence artificielle</v>
      </c>
      <c r="F36" s="6" t="str">
        <f>APPRENANTS!E25</f>
        <v>2026-05-11</v>
      </c>
      <c r="G36" s="6" t="str">
        <f>APPRENANTS!F25</f>
        <v>2026-05-22</v>
      </c>
      <c r="H36" s="6" t="str">
        <f>APPRENANTS!H25</f>
        <v>CHE saint français, 13710 FUVEAU</v>
      </c>
      <c r="I36" s="6" t="str">
        <f>APPRENANTS!I25</f>
        <v>rouaissimoncef63@gmail.com</v>
      </c>
      <c r="J36" s="6" t="str">
        <f>APPRENANTS!J25</f>
        <v>618814668</v>
      </c>
      <c r="K36" s="6" t="str">
        <f>APPRENANTS!K25</f>
        <v>1963-04-10</v>
      </c>
      <c r="L36" s="11"/>
      <c r="M36" s="11"/>
      <c r="N36" s="6" t="str">
        <f>'WEDOF - EXAMEN FINAL'!D25</f>
        <v>A faire</v>
      </c>
      <c r="O36" s="6" t="str">
        <f>'WEDOF - EXAMEN FINAL'!E25</f>
        <v>A faire</v>
      </c>
      <c r="P36" s="6" t="str">
        <f>'WEDOF - EXAMEN FINAL'!H25</f>
        <v/>
      </c>
      <c r="Q36" s="6" t="str">
        <f>'WEDOF - EXAMEN FINAL'!F25</f>
        <v>A faire</v>
      </c>
      <c r="R36" s="11"/>
      <c r="S36" s="6">
        <f>'PAIEMENTS &amp; COMMISSIONS'!I25</f>
        <v>1500</v>
      </c>
      <c r="T36" s="6" t="b">
        <f t="shared" si="2"/>
        <v>1</v>
      </c>
      <c r="U36" s="6" t="b">
        <f t="shared" si="3"/>
        <v>0</v>
      </c>
      <c r="V36" s="11" t="b">
        <f t="shared" ref="V36:W36" si="26">FALSE()</f>
        <v>0</v>
      </c>
      <c r="W36" s="11" t="b">
        <f t="shared" si="26"/>
        <v>0</v>
      </c>
      <c r="X36" s="10" t="str">
        <f>APPRENANTS!Y25</f>
        <v>Oui</v>
      </c>
    </row>
    <row r="37" ht="15.0" customHeight="1">
      <c r="A37" s="6" t="str">
        <f>APPRENANTS!B26</f>
        <v>BOUTI Yazid</v>
      </c>
      <c r="B37" s="6" t="str">
        <f>APPRENANTS!A26</f>
        <v>Proforma Institut</v>
      </c>
      <c r="C37" s="6" t="str">
        <f>APPRENANTS!C26</f>
        <v>Nedjma</v>
      </c>
      <c r="D37" s="6" t="str">
        <f>APPRENANTS!G26</f>
        <v>Payé</v>
      </c>
      <c r="E37" s="6" t="str">
        <f>APPRENANTS!D26</f>
        <v>Développer son activité avec l’intelligence artificielle</v>
      </c>
      <c r="F37" s="6" t="str">
        <f>APPRENANTS!E26</f>
        <v>2026-05-12</v>
      </c>
      <c r="G37" s="6" t="str">
        <f>APPRENANTS!F26</f>
        <v>2026-05-22</v>
      </c>
      <c r="H37" s="6" t="str">
        <f>APPRENANTS!H26</f>
        <v>9 BD Boulevard Victor Hugo, 13180 GIGNAC LA NERTHE</v>
      </c>
      <c r="I37" s="6" t="str">
        <f>APPRENANTS!I26</f>
        <v>yazidbouti48@gmail.com</v>
      </c>
      <c r="J37" s="6" t="str">
        <f>APPRENANTS!J26</f>
        <v>756870967</v>
      </c>
      <c r="K37" s="6" t="str">
        <f>APPRENANTS!K26</f>
        <v>19/02/1976</v>
      </c>
      <c r="L37" s="11"/>
      <c r="M37" s="11"/>
      <c r="N37" s="6" t="str">
        <f>'WEDOF - EXAMEN FINAL'!D26</f>
        <v>A faire</v>
      </c>
      <c r="O37" s="6" t="str">
        <f>'WEDOF - EXAMEN FINAL'!E26</f>
        <v>A faire</v>
      </c>
      <c r="P37" s="6" t="str">
        <f>'WEDOF - EXAMEN FINAL'!H26</f>
        <v/>
      </c>
      <c r="Q37" s="6" t="str">
        <f>'WEDOF - EXAMEN FINAL'!F26</f>
        <v>A faire</v>
      </c>
      <c r="R37" s="11"/>
      <c r="S37" s="6">
        <f>'PAIEMENTS &amp; COMMISSIONS'!I26</f>
        <v>1500</v>
      </c>
      <c r="T37" s="6" t="b">
        <f t="shared" si="2"/>
        <v>1</v>
      </c>
      <c r="U37" s="6" t="b">
        <f t="shared" si="3"/>
        <v>0</v>
      </c>
      <c r="V37" s="11" t="b">
        <f t="shared" ref="V37:W37" si="27">FALSE()</f>
        <v>0</v>
      </c>
      <c r="W37" s="11" t="b">
        <f t="shared" si="27"/>
        <v>0</v>
      </c>
      <c r="X37" s="10" t="str">
        <f>APPRENANTS!Y26</f>
        <v>Oui</v>
      </c>
    </row>
    <row r="38" ht="15.0" customHeight="1">
      <c r="A38" s="6" t="str">
        <f>APPRENANTS!B27</f>
        <v>KOUIDER Alexandre</v>
      </c>
      <c r="B38" s="6" t="str">
        <f>APPRENANTS!A27</f>
        <v>Proforma Institut</v>
      </c>
      <c r="C38" s="6" t="str">
        <f>APPRENANTS!C27</f>
        <v>Sabri</v>
      </c>
      <c r="D38" s="6" t="str">
        <f>APPRENANTS!G27</f>
        <v>Payé</v>
      </c>
      <c r="E38" s="6" t="str">
        <f>APPRENANTS!D27</f>
        <v>Développer son activité avec l’intelligence artificielle</v>
      </c>
      <c r="F38" s="6" t="str">
        <f>APPRENANTS!E27</f>
        <v>2026-05-12</v>
      </c>
      <c r="G38" s="6" t="str">
        <f>APPRENANTS!F27</f>
        <v>2026-05-22</v>
      </c>
      <c r="H38" s="6" t="str">
        <f>APPRENANTS!H27</f>
        <v>13 IMP De la papeterie, 13005 MARSEILLE</v>
      </c>
      <c r="I38" s="6" t="str">
        <f>APPRENANTS!I27</f>
        <v>alexandre.kouider.thiers@gmail.com</v>
      </c>
      <c r="J38" s="6" t="str">
        <f>APPRENANTS!J27</f>
        <v>772350340</v>
      </c>
      <c r="K38" s="6" t="str">
        <f>APPRENANTS!K27</f>
        <v>15/05/2003</v>
      </c>
      <c r="L38" s="11"/>
      <c r="M38" s="11"/>
      <c r="N38" s="6" t="str">
        <f>'WEDOF - EXAMEN FINAL'!D27</f>
        <v>Fait</v>
      </c>
      <c r="O38" s="6" t="str">
        <f>'WEDOF - EXAMEN FINAL'!E27</f>
        <v>Fait</v>
      </c>
      <c r="P38" s="6" t="str">
        <f>'WEDOF - EXAMEN FINAL'!H27</f>
        <v>Étudiant Roumanie dentiste intérim alyzia et la poste</v>
      </c>
      <c r="Q38" s="6" t="str">
        <f>'WEDOF - EXAMEN FINAL'!F27</f>
        <v>Fait</v>
      </c>
      <c r="R38" s="11"/>
      <c r="S38" s="6">
        <f>'PAIEMENTS &amp; COMMISSIONS'!I27</f>
        <v>1500</v>
      </c>
      <c r="T38" s="6" t="b">
        <f t="shared" si="2"/>
        <v>1</v>
      </c>
      <c r="U38" s="6" t="b">
        <f t="shared" si="3"/>
        <v>1</v>
      </c>
      <c r="V38" s="11" t="b">
        <f t="shared" ref="V38:W38" si="28">FALSE()</f>
        <v>0</v>
      </c>
      <c r="W38" s="11" t="b">
        <f t="shared" si="28"/>
        <v>0</v>
      </c>
      <c r="X38" s="10" t="str">
        <f>APPRENANTS!Y27</f>
        <v>Oui</v>
      </c>
    </row>
    <row r="39" ht="15.0" customHeight="1">
      <c r="A39" s="6" t="str">
        <f>APPRENANTS!B28</f>
        <v>SOLAITIN Mathieu</v>
      </c>
      <c r="B39" s="6" t="str">
        <f>APPRENANTS!A28</f>
        <v>Proforma Institut</v>
      </c>
      <c r="C39" s="6" t="str">
        <f>APPRENANTS!C28</f>
        <v>Sabri</v>
      </c>
      <c r="D39" s="6" t="str">
        <f>APPRENANTS!G28</f>
        <v>Payé</v>
      </c>
      <c r="E39" s="6" t="str">
        <f>APPRENANTS!D28</f>
        <v>Développer son activité avec l’intelligence artificielle</v>
      </c>
      <c r="F39" s="6" t="str">
        <f>APPRENANTS!E28</f>
        <v>2026-05-18</v>
      </c>
      <c r="G39" s="6" t="str">
        <f>APPRENANTS!F28</f>
        <v>2026-05-29</v>
      </c>
      <c r="H39" s="6" t="str">
        <f>APPRENANTS!H28</f>
        <v>AV De Font Segugne, 13127 VITROLLES</v>
      </c>
      <c r="I39" s="6" t="str">
        <f>APPRENANTS!I28</f>
        <v>msolaitin@yahoo.com</v>
      </c>
      <c r="J39" s="6" t="str">
        <f>APPRENANTS!J28</f>
        <v>649754907</v>
      </c>
      <c r="K39" s="6" t="str">
        <f>APPRENANTS!K28</f>
        <v>20/07/1993</v>
      </c>
      <c r="L39" s="11"/>
      <c r="M39" s="11"/>
      <c r="N39" s="6" t="str">
        <f>'WEDOF - EXAMEN FINAL'!D28</f>
        <v>A faire</v>
      </c>
      <c r="O39" s="6" t="str">
        <f>'WEDOF - EXAMEN FINAL'!E28</f>
        <v>A faire</v>
      </c>
      <c r="P39" s="6" t="str">
        <f>'WEDOF - EXAMEN FINAL'!H28</f>
        <v/>
      </c>
      <c r="Q39" s="6" t="str">
        <f>'WEDOF - EXAMEN FINAL'!F28</f>
        <v>A faire</v>
      </c>
      <c r="R39" s="11"/>
      <c r="S39" s="6">
        <f>'PAIEMENTS &amp; COMMISSIONS'!I28</f>
        <v>1500</v>
      </c>
      <c r="T39" s="6" t="b">
        <f t="shared" si="2"/>
        <v>1</v>
      </c>
      <c r="U39" s="6" t="b">
        <f t="shared" si="3"/>
        <v>0</v>
      </c>
      <c r="V39" s="11" t="b">
        <f t="shared" ref="V39:W39" si="29">FALSE()</f>
        <v>0</v>
      </c>
      <c r="W39" s="11" t="b">
        <f t="shared" si="29"/>
        <v>0</v>
      </c>
      <c r="X39" s="10" t="str">
        <f>APPRENANTS!Y28</f>
        <v>Oui</v>
      </c>
    </row>
    <row r="40" ht="15.0" customHeight="1">
      <c r="A40" s="6" t="str">
        <f>APPRENANTS!B29</f>
        <v>Alexandre Schmerber</v>
      </c>
      <c r="B40" s="6" t="str">
        <f>APPRENANTS!A29</f>
        <v>Proforma Institut</v>
      </c>
      <c r="C40" s="6" t="str">
        <f>APPRENANTS!C29</f>
        <v>Sabri</v>
      </c>
      <c r="D40" s="6" t="str">
        <f>APPRENANTS!G29</f>
        <v>Payé</v>
      </c>
      <c r="E40" s="6" t="str">
        <f>APPRENANTS!D29</f>
        <v>Développer son activité avec l’intelligence artificielle</v>
      </c>
      <c r="F40" s="6" t="str">
        <f>APPRENANTS!E29</f>
        <v>2026-05-18</v>
      </c>
      <c r="G40" s="6" t="str">
        <f>APPRENANTS!F29</f>
        <v>2026-05-29</v>
      </c>
      <c r="H40" s="6" t="str">
        <f>APPRENANTS!H29</f>
        <v>24 MTE De le belle france, 13015 MARSEILLE</v>
      </c>
      <c r="I40" s="6" t="str">
        <f>APPRENANTS!I29</f>
        <v>alexandre.schmerber@hotmail.com</v>
      </c>
      <c r="J40" s="6" t="str">
        <f>APPRENANTS!J29</f>
        <v>699574950</v>
      </c>
      <c r="K40" s="6" t="str">
        <f>APPRENANTS!K29</f>
        <v>24/05/1993</v>
      </c>
      <c r="L40" s="11"/>
      <c r="M40" s="11"/>
      <c r="N40" s="6" t="str">
        <f>'WEDOF - EXAMEN FINAL'!D29</f>
        <v>A faire</v>
      </c>
      <c r="O40" s="6" t="str">
        <f>'WEDOF - EXAMEN FINAL'!E29</f>
        <v>A faire</v>
      </c>
      <c r="P40" s="6" t="str">
        <f>'WEDOF - EXAMEN FINAL'!H29</f>
        <v/>
      </c>
      <c r="Q40" s="6" t="str">
        <f>'WEDOF - EXAMEN FINAL'!F29</f>
        <v>A faire</v>
      </c>
      <c r="R40" s="11"/>
      <c r="S40" s="6">
        <f>'PAIEMENTS &amp; COMMISSIONS'!I29</f>
        <v>1500</v>
      </c>
      <c r="T40" s="6" t="b">
        <f t="shared" si="2"/>
        <v>1</v>
      </c>
      <c r="U40" s="6" t="b">
        <f t="shared" si="3"/>
        <v>0</v>
      </c>
      <c r="V40" s="11" t="b">
        <f t="shared" ref="V40:W40" si="30">FALSE()</f>
        <v>0</v>
      </c>
      <c r="W40" s="11" t="b">
        <f t="shared" si="30"/>
        <v>0</v>
      </c>
      <c r="X40" s="10" t="str">
        <f>APPRENANTS!Y29</f>
        <v>Oui</v>
      </c>
    </row>
    <row r="41" ht="15.0" customHeight="1">
      <c r="A41" s="6" t="str">
        <f>APPRENANTS!B30</f>
        <v>CHAFIL Amine</v>
      </c>
      <c r="B41" s="6" t="str">
        <f>APPRENANTS!A30</f>
        <v>Proforma Institut</v>
      </c>
      <c r="C41" s="6" t="str">
        <f>APPRENANTS!C30</f>
        <v/>
      </c>
      <c r="D41" s="6" t="str">
        <f>APPRENANTS!G30</f>
        <v>Accepté</v>
      </c>
      <c r="E41" s="6" t="str">
        <f>APPRENANTS!D30</f>
        <v>Développer son activité avec l’intelligence artificielle</v>
      </c>
      <c r="F41" s="6" t="str">
        <f>APPRENANTS!E30</f>
        <v>2026-06-08</v>
      </c>
      <c r="G41" s="6" t="str">
        <f>APPRENANTS!F30</f>
        <v>2026-06-13</v>
      </c>
      <c r="H41" s="6" t="str">
        <f>APPRENANTS!H30</f>
        <v>23 RUE Professeur marcel Arnaud, 13013 MARSEILLE</v>
      </c>
      <c r="I41" s="6" t="str">
        <f>APPRENANTS!I30</f>
        <v>amine_du_13010@hotmail.fr</v>
      </c>
      <c r="J41" s="6" t="str">
        <f>APPRENANTS!J30</f>
        <v>624685745</v>
      </c>
      <c r="K41" s="6" t="str">
        <f>APPRENANTS!K30</f>
        <v>1990-11-07</v>
      </c>
      <c r="L41" s="11"/>
      <c r="M41" s="11"/>
      <c r="N41" s="6" t="str">
        <f>'WEDOF - EXAMEN FINAL'!D30</f>
        <v>A faire</v>
      </c>
      <c r="O41" s="6" t="str">
        <f>'WEDOF - EXAMEN FINAL'!E30</f>
        <v>A faire</v>
      </c>
      <c r="P41" s="6" t="str">
        <f>'WEDOF - EXAMEN FINAL'!H30</f>
        <v/>
      </c>
      <c r="Q41" s="6" t="str">
        <f>'WEDOF - EXAMEN FINAL'!F30</f>
        <v>A faire</v>
      </c>
      <c r="R41" s="11"/>
      <c r="S41" s="6">
        <f>'PAIEMENTS &amp; COMMISSIONS'!I30</f>
        <v>1500</v>
      </c>
      <c r="T41" s="6" t="b">
        <f t="shared" si="2"/>
        <v>1</v>
      </c>
      <c r="U41" s="6" t="b">
        <f t="shared" si="3"/>
        <v>0</v>
      </c>
      <c r="V41" s="11" t="b">
        <f t="shared" ref="V41:W41" si="31">FALSE()</f>
        <v>0</v>
      </c>
      <c r="W41" s="11" t="b">
        <f t="shared" si="31"/>
        <v>0</v>
      </c>
      <c r="X41" s="10" t="str">
        <f>APPRENANTS!Y30</f>
        <v>Oui</v>
      </c>
    </row>
    <row r="42" ht="15.0" customHeight="1">
      <c r="A42" s="6" t="str">
        <f>APPRENANTS!B31</f>
        <v>MARIOTTI Regis</v>
      </c>
      <c r="B42" s="6" t="str">
        <f>APPRENANTS!A31</f>
        <v>Proforma Institut</v>
      </c>
      <c r="C42" s="6" t="str">
        <f>APPRENANTS!C31</f>
        <v>Sabri</v>
      </c>
      <c r="D42" s="6" t="str">
        <f>APPRENANTS!G31</f>
        <v>Accepté</v>
      </c>
      <c r="E42" s="6" t="str">
        <f>APPRENANTS!D31</f>
        <v>Développer son activité avec l’intelligence artificielle</v>
      </c>
      <c r="F42" s="6" t="str">
        <f>APPRENANTS!E31</f>
        <v>2026-06-08</v>
      </c>
      <c r="G42" s="6" t="str">
        <f>APPRENANTS!F31</f>
        <v>2026-06-13</v>
      </c>
      <c r="H42" s="6" t="str">
        <f>APPRENANTS!H31</f>
        <v>11 TRA de la dominique, 13011 MARSEILLE</v>
      </c>
      <c r="I42" s="6" t="str">
        <f>APPRENANTS!I31</f>
        <v>regismariotti@hotmail.fr</v>
      </c>
      <c r="J42" s="6" t="str">
        <f>APPRENANTS!J31</f>
        <v>612877388</v>
      </c>
      <c r="K42" s="6" t="str">
        <f>APPRENANTS!K31</f>
        <v>27/08/1977</v>
      </c>
      <c r="L42" s="11"/>
      <c r="M42" s="11"/>
      <c r="N42" s="6" t="str">
        <f>'WEDOF - EXAMEN FINAL'!D31</f>
        <v>A faire</v>
      </c>
      <c r="O42" s="6" t="str">
        <f>'WEDOF - EXAMEN FINAL'!E31</f>
        <v>A faire</v>
      </c>
      <c r="P42" s="6" t="str">
        <f>'WEDOF - EXAMEN FINAL'!H31</f>
        <v/>
      </c>
      <c r="Q42" s="6" t="str">
        <f>'WEDOF - EXAMEN FINAL'!F31</f>
        <v>A faire</v>
      </c>
      <c r="R42" s="11"/>
      <c r="S42" s="6">
        <f>'PAIEMENTS &amp; COMMISSIONS'!I31</f>
        <v>1500</v>
      </c>
      <c r="T42" s="6" t="b">
        <f t="shared" si="2"/>
        <v>1</v>
      </c>
      <c r="U42" s="6" t="b">
        <f t="shared" si="3"/>
        <v>0</v>
      </c>
      <c r="V42" s="11" t="b">
        <f t="shared" ref="V42:W42" si="32">FALSE()</f>
        <v>0</v>
      </c>
      <c r="W42" s="11" t="b">
        <f t="shared" si="32"/>
        <v>0</v>
      </c>
      <c r="X42" s="10" t="str">
        <f>APPRENANTS!Y31</f>
        <v>Oui</v>
      </c>
    </row>
    <row r="43" ht="15.0" customHeight="1">
      <c r="A43" s="6" t="str">
        <f>APPRENANTS!B32</f>
        <v>GAUTHEROT Pascal</v>
      </c>
      <c r="B43" s="6" t="str">
        <f>APPRENANTS!A32</f>
        <v>Proforma Institut</v>
      </c>
      <c r="C43" s="6" t="str">
        <f>APPRENANTS!C32</f>
        <v>GRAS</v>
      </c>
      <c r="D43" s="6" t="str">
        <f>APPRENANTS!G32</f>
        <v>Accepté</v>
      </c>
      <c r="E43" s="6" t="str">
        <f>APPRENANTS!D32</f>
        <v>Améliorer l'efficacité de sa TPE à l'aide de l'IA</v>
      </c>
      <c r="F43" s="6" t="str">
        <f>APPRENANTS!E32</f>
        <v>2026-06-15</v>
      </c>
      <c r="G43" s="6" t="str">
        <f>APPRENANTS!F32</f>
        <v>2026-06-20</v>
      </c>
      <c r="H43" s="6" t="str">
        <f>APPRENANTS!H32</f>
        <v>192 CHE du tour de l'étang, 13800 ISTRES</v>
      </c>
      <c r="I43" s="6" t="str">
        <f>APPRENANTS!I32</f>
        <v>pascal-gautherot@wanadoo.fr</v>
      </c>
      <c r="J43" s="6" t="str">
        <f>APPRENANTS!J32</f>
        <v>689407179</v>
      </c>
      <c r="K43" s="6" t="str">
        <f>APPRENANTS!K32</f>
        <v>22/04/1966</v>
      </c>
      <c r="L43" s="11"/>
      <c r="M43" s="11"/>
      <c r="N43" s="6" t="str">
        <f>'WEDOF - EXAMEN FINAL'!D32</f>
        <v>A faire</v>
      </c>
      <c r="O43" s="6" t="str">
        <f>'WEDOF - EXAMEN FINAL'!E32</f>
        <v>A faire</v>
      </c>
      <c r="P43" s="6" t="str">
        <f>'WEDOF - EXAMEN FINAL'!H32</f>
        <v/>
      </c>
      <c r="Q43" s="6" t="str">
        <f>'WEDOF - EXAMEN FINAL'!F32</f>
        <v>A faire</v>
      </c>
      <c r="R43" s="11"/>
      <c r="S43" s="6">
        <f>'PAIEMENTS &amp; COMMISSIONS'!I32</f>
        <v>1500</v>
      </c>
      <c r="T43" s="6" t="b">
        <f t="shared" si="2"/>
        <v>1</v>
      </c>
      <c r="U43" s="6" t="b">
        <f t="shared" si="3"/>
        <v>0</v>
      </c>
      <c r="V43" s="11" t="b">
        <f t="shared" ref="V43:W43" si="33">FALSE()</f>
        <v>0</v>
      </c>
      <c r="W43" s="11" t="b">
        <f t="shared" si="33"/>
        <v>0</v>
      </c>
      <c r="X43" s="10" t="str">
        <f>APPRENANTS!Y32</f>
        <v>Oui</v>
      </c>
    </row>
    <row r="44" ht="15.0" customHeight="1">
      <c r="A44" s="6" t="str">
        <f>APPRENANTS!B33</f>
        <v>GAUTHEROT Pascal</v>
      </c>
      <c r="B44" s="6" t="str">
        <f>APPRENANTS!A33</f>
        <v>Proforma Institut</v>
      </c>
      <c r="C44" s="6" t="str">
        <f>APPRENANTS!C33</f>
        <v>GRAS</v>
      </c>
      <c r="D44" s="6" t="str">
        <f>APPRENANTS!G33</f>
        <v>Accepté</v>
      </c>
      <c r="E44" s="6" t="str">
        <f>APPRENANTS!D33</f>
        <v>Communiquer sur les réseaux sociaux pour promouvoir sa TPE</v>
      </c>
      <c r="F44" s="6" t="str">
        <f>APPRENANTS!E33</f>
        <v>2026-06-22</v>
      </c>
      <c r="G44" s="6" t="str">
        <f>APPRENANTS!F33</f>
        <v>2026-06-27</v>
      </c>
      <c r="H44" s="6" t="str">
        <f>APPRENANTS!H33</f>
        <v>192 CHE du tour de l'étang, 13800 ISTRES</v>
      </c>
      <c r="I44" s="6" t="str">
        <f>APPRENANTS!I33</f>
        <v>pascal-gautherot@wanadoo.fr</v>
      </c>
      <c r="J44" s="6" t="str">
        <f>APPRENANTS!J33</f>
        <v>689407179</v>
      </c>
      <c r="K44" s="6" t="str">
        <f>APPRENANTS!K33</f>
        <v>22/04/1966</v>
      </c>
      <c r="L44" s="11"/>
      <c r="M44" s="11"/>
      <c r="N44" s="6" t="str">
        <f>'WEDOF - EXAMEN FINAL'!D33</f>
        <v>A faire</v>
      </c>
      <c r="O44" s="6" t="str">
        <f>'WEDOF - EXAMEN FINAL'!E33</f>
        <v>A faire</v>
      </c>
      <c r="P44" s="6" t="str">
        <f>'WEDOF - EXAMEN FINAL'!H33</f>
        <v/>
      </c>
      <c r="Q44" s="6" t="str">
        <f>'WEDOF - EXAMEN FINAL'!F33</f>
        <v>A faire</v>
      </c>
      <c r="R44" s="11"/>
      <c r="S44" s="6">
        <f>'PAIEMENTS &amp; COMMISSIONS'!I33</f>
        <v>1500</v>
      </c>
      <c r="T44" s="6" t="b">
        <f t="shared" si="2"/>
        <v>1</v>
      </c>
      <c r="U44" s="6" t="b">
        <f t="shared" si="3"/>
        <v>0</v>
      </c>
      <c r="V44" s="11" t="b">
        <f t="shared" ref="V44:W44" si="34">FALSE()</f>
        <v>0</v>
      </c>
      <c r="W44" s="11" t="b">
        <f t="shared" si="34"/>
        <v>0</v>
      </c>
      <c r="X44" s="10" t="str">
        <f>APPRENANTS!Y33</f>
        <v>Oui</v>
      </c>
    </row>
    <row r="45" ht="15.0" customHeight="1">
      <c r="A45" s="6" t="str">
        <f>APPRENANTS!B34</f>
        <v>GAUTHEROT Pascal</v>
      </c>
      <c r="B45" s="6" t="str">
        <f>APPRENANTS!A34</f>
        <v>Proforma Institut</v>
      </c>
      <c r="C45" s="6" t="str">
        <f>APPRENANTS!C34</f>
        <v>GRAS</v>
      </c>
      <c r="D45" s="6" t="str">
        <f>APPRENANTS!G34</f>
        <v>Accepté</v>
      </c>
      <c r="E45" s="6" t="str">
        <f>APPRENANTS!D34</f>
        <v>Réaliser les opérations comptables courantes d'une TPE</v>
      </c>
      <c r="F45" s="6" t="str">
        <f>APPRENANTS!E34</f>
        <v>2026-06-29</v>
      </c>
      <c r="G45" s="6" t="str">
        <f>APPRENANTS!F34</f>
        <v>2026-07-04</v>
      </c>
      <c r="H45" s="6" t="str">
        <f>APPRENANTS!H34</f>
        <v>192 CHE du tour de l'étang, 13800 ISTRES</v>
      </c>
      <c r="I45" s="6" t="str">
        <f>APPRENANTS!I34</f>
        <v>pascal-gautherot@wanadoo.fr</v>
      </c>
      <c r="J45" s="6" t="str">
        <f>APPRENANTS!J34</f>
        <v>689407179</v>
      </c>
      <c r="K45" s="6" t="str">
        <f>APPRENANTS!K34</f>
        <v>22/04/1966</v>
      </c>
      <c r="L45" s="11"/>
      <c r="M45" s="11"/>
      <c r="N45" s="6" t="str">
        <f>'WEDOF - EXAMEN FINAL'!D34</f>
        <v>A faire</v>
      </c>
      <c r="O45" s="6" t="str">
        <f>'WEDOF - EXAMEN FINAL'!E34</f>
        <v>A faire</v>
      </c>
      <c r="P45" s="6" t="str">
        <f>'WEDOF - EXAMEN FINAL'!H34</f>
        <v/>
      </c>
      <c r="Q45" s="6" t="str">
        <f>'WEDOF - EXAMEN FINAL'!F34</f>
        <v>A faire</v>
      </c>
      <c r="R45" s="11"/>
      <c r="S45" s="6">
        <f>'PAIEMENTS &amp; COMMISSIONS'!I34</f>
        <v>1500</v>
      </c>
      <c r="T45" s="6" t="b">
        <f t="shared" si="2"/>
        <v>1</v>
      </c>
      <c r="U45" s="6" t="b">
        <f t="shared" si="3"/>
        <v>0</v>
      </c>
      <c r="V45" s="11" t="b">
        <f t="shared" ref="V45:W45" si="35">FALSE()</f>
        <v>0</v>
      </c>
      <c r="W45" s="11" t="b">
        <f t="shared" si="35"/>
        <v>0</v>
      </c>
      <c r="X45" s="10" t="str">
        <f>APPRENANTS!Y34</f>
        <v>Oui</v>
      </c>
    </row>
    <row r="46" ht="15.0" customHeight="1">
      <c r="A46" s="6" t="str">
        <f>APPRENANTS!B35</f>
        <v>VIRAPHONG Thuy</v>
      </c>
      <c r="B46" s="6" t="str">
        <f>APPRENANTS!A35</f>
        <v>Proforma Institut</v>
      </c>
      <c r="C46" s="6" t="str">
        <f>APPRENANTS!C35</f>
        <v>jules</v>
      </c>
      <c r="D46" s="6" t="str">
        <f>APPRENANTS!G35</f>
        <v>Accepté</v>
      </c>
      <c r="E46" s="6" t="str">
        <f>APPRENANTS!D35</f>
        <v>Développer son activité avec l’intelligence artificielle</v>
      </c>
      <c r="F46" s="6" t="str">
        <f>APPRENANTS!E35</f>
        <v>2026-06-15</v>
      </c>
      <c r="G46" s="6" t="str">
        <f>APPRENANTS!F35</f>
        <v>2026-06-20</v>
      </c>
      <c r="H46" s="6" t="str">
        <f>APPRENANTS!H35</f>
        <v>81 CHE De figuerolles, 13180 GIGNAC LA NERTHE</v>
      </c>
      <c r="I46" s="6" t="str">
        <f>APPRENANTS!I35</f>
        <v>johana131@gmail.com</v>
      </c>
      <c r="J46" s="6" t="str">
        <f>APPRENANTS!J35</f>
        <v>769874867</v>
      </c>
      <c r="K46" s="6" t="str">
        <f>APPRENANTS!K35</f>
        <v>15/10/1989</v>
      </c>
      <c r="L46" s="11"/>
      <c r="M46" s="11"/>
      <c r="N46" s="6" t="str">
        <f>'WEDOF - EXAMEN FINAL'!D35</f>
        <v>A faire</v>
      </c>
      <c r="O46" s="6" t="str">
        <f>'WEDOF - EXAMEN FINAL'!E35</f>
        <v>A faire</v>
      </c>
      <c r="P46" s="6" t="str">
        <f>'WEDOF - EXAMEN FINAL'!H35</f>
        <v/>
      </c>
      <c r="Q46" s="6" t="str">
        <f>'WEDOF - EXAMEN FINAL'!F35</f>
        <v>A faire</v>
      </c>
      <c r="R46" s="11"/>
      <c r="S46" s="6">
        <f>'PAIEMENTS &amp; COMMISSIONS'!I35</f>
        <v>1500</v>
      </c>
      <c r="T46" s="6" t="b">
        <f t="shared" si="2"/>
        <v>1</v>
      </c>
      <c r="U46" s="6" t="b">
        <f t="shared" si="3"/>
        <v>0</v>
      </c>
      <c r="V46" s="11" t="b">
        <f t="shared" ref="V46:W46" si="36">FALSE()</f>
        <v>0</v>
      </c>
      <c r="W46" s="11" t="b">
        <f t="shared" si="36"/>
        <v>0</v>
      </c>
      <c r="X46" s="10" t="str">
        <f>APPRENANTS!Y35</f>
        <v>Oui</v>
      </c>
    </row>
    <row r="47" ht="15.0" customHeight="1">
      <c r="A47" s="6" t="str">
        <f>APPRENANTS!B36</f>
        <v>POGGI Eric</v>
      </c>
      <c r="B47" s="6" t="str">
        <f>APPRENANTS!A36</f>
        <v>Proforma Institut</v>
      </c>
      <c r="C47" s="6" t="str">
        <f>APPRENANTS!C36</f>
        <v>Sabri</v>
      </c>
      <c r="D47" s="6" t="str">
        <f>APPRENANTS!G36</f>
        <v>Accepté</v>
      </c>
      <c r="E47" s="6" t="str">
        <f>APPRENANTS!D36</f>
        <v/>
      </c>
      <c r="F47" s="6" t="str">
        <f>APPRENANTS!E36</f>
        <v>2026-06-15</v>
      </c>
      <c r="G47" s="6" t="str">
        <f>APPRENANTS!F36</f>
        <v>2026-06-20</v>
      </c>
      <c r="H47" s="6" t="str">
        <f>APPRENANTS!H36</f>
        <v/>
      </c>
      <c r="I47" s="6" t="str">
        <f>APPRENANTS!I36</f>
        <v/>
      </c>
      <c r="J47" s="6" t="str">
        <f>APPRENANTS!J36</f>
        <v/>
      </c>
      <c r="K47" s="6" t="str">
        <f>APPRENANTS!K36</f>
        <v/>
      </c>
      <c r="L47" s="11"/>
      <c r="M47" s="11"/>
      <c r="N47" s="6" t="str">
        <f>'WEDOF - EXAMEN FINAL'!D36</f>
        <v>A faire</v>
      </c>
      <c r="O47" s="6" t="str">
        <f>'WEDOF - EXAMEN FINAL'!E36</f>
        <v>A faire</v>
      </c>
      <c r="P47" s="6" t="str">
        <f>'WEDOF - EXAMEN FINAL'!H36</f>
        <v/>
      </c>
      <c r="Q47" s="6" t="str">
        <f>'WEDOF - EXAMEN FINAL'!F36</f>
        <v>A faire</v>
      </c>
      <c r="R47" s="11"/>
      <c r="S47" s="6">
        <f>'PAIEMENTS &amp; COMMISSIONS'!I36</f>
        <v>1500</v>
      </c>
      <c r="T47" s="6" t="b">
        <f t="shared" si="2"/>
        <v>0</v>
      </c>
      <c r="U47" s="6" t="b">
        <f t="shared" si="3"/>
        <v>0</v>
      </c>
      <c r="V47" s="11" t="b">
        <f t="shared" ref="V47:W47" si="37">FALSE()</f>
        <v>0</v>
      </c>
      <c r="W47" s="11" t="b">
        <f t="shared" si="37"/>
        <v>0</v>
      </c>
      <c r="X47" s="10" t="str">
        <f>APPRENANTS!Y36</f>
        <v>Oui</v>
      </c>
    </row>
    <row r="48" ht="15.0" customHeight="1">
      <c r="A48" s="6" t="str">
        <f>APPRENANTS!B37</f>
        <v>POGGI Eric</v>
      </c>
      <c r="B48" s="6" t="str">
        <f>APPRENANTS!A37</f>
        <v>Proforma Institut</v>
      </c>
      <c r="C48" s="6" t="str">
        <f>APPRENANTS!C37</f>
        <v>Sabri</v>
      </c>
      <c r="D48" s="6" t="str">
        <f>APPRENANTS!G37</f>
        <v>Accepté</v>
      </c>
      <c r="E48" s="6" t="str">
        <f>APPRENANTS!D37</f>
        <v>Communiquer sur les réseaux sociaux pour promouvoir sa TPE</v>
      </c>
      <c r="F48" s="6" t="str">
        <f>APPRENANTS!E37</f>
        <v>2026-06-22</v>
      </c>
      <c r="G48" s="6" t="str">
        <f>APPRENANTS!F37</f>
        <v>2026-06-27</v>
      </c>
      <c r="H48" s="6" t="str">
        <f>APPRENANTS!H37</f>
        <v/>
      </c>
      <c r="I48" s="6" t="str">
        <f>APPRENANTS!I37</f>
        <v/>
      </c>
      <c r="J48" s="6" t="str">
        <f>APPRENANTS!J37</f>
        <v/>
      </c>
      <c r="K48" s="6" t="str">
        <f>APPRENANTS!K37</f>
        <v/>
      </c>
      <c r="L48" s="11"/>
      <c r="M48" s="11"/>
      <c r="N48" s="6" t="str">
        <f>'WEDOF - EXAMEN FINAL'!D37</f>
        <v>A faire</v>
      </c>
      <c r="O48" s="6" t="str">
        <f>'WEDOF - EXAMEN FINAL'!E37</f>
        <v>A faire</v>
      </c>
      <c r="P48" s="6" t="str">
        <f>'WEDOF - EXAMEN FINAL'!H37</f>
        <v/>
      </c>
      <c r="Q48" s="6" t="str">
        <f>'WEDOF - EXAMEN FINAL'!F37</f>
        <v>A faire</v>
      </c>
      <c r="R48" s="11"/>
      <c r="S48" s="6">
        <f>'PAIEMENTS &amp; COMMISSIONS'!I37</f>
        <v>1500</v>
      </c>
      <c r="T48" s="6" t="b">
        <f t="shared" si="2"/>
        <v>1</v>
      </c>
      <c r="U48" s="6" t="b">
        <f t="shared" si="3"/>
        <v>0</v>
      </c>
      <c r="V48" s="11" t="b">
        <f t="shared" ref="V48:W48" si="38">FALSE()</f>
        <v>0</v>
      </c>
      <c r="W48" s="11" t="b">
        <f t="shared" si="38"/>
        <v>0</v>
      </c>
      <c r="X48" s="10" t="str">
        <f>APPRENANTS!Y37</f>
        <v>Oui</v>
      </c>
    </row>
    <row r="49" ht="15.0" customHeight="1">
      <c r="A49" s="6" t="str">
        <f>APPRENANTS!B38</f>
        <v>MENDY Jean</v>
      </c>
      <c r="B49" s="6" t="str">
        <f>APPRENANTS!A38</f>
        <v>Proforma Institut</v>
      </c>
      <c r="C49" s="6" t="str">
        <f>APPRENANTS!C38</f>
        <v>jean</v>
      </c>
      <c r="D49" s="6" t="str">
        <f>APPRENANTS!G38</f>
        <v>Accepté</v>
      </c>
      <c r="E49" s="6" t="str">
        <f>APPRENANTS!D38</f>
        <v>Développer son activité avec l’intelligence artificielle</v>
      </c>
      <c r="F49" s="6" t="str">
        <f>APPRENANTS!E38</f>
        <v>2026-06-15</v>
      </c>
      <c r="G49" s="6" t="str">
        <f>APPRENANTS!F38</f>
        <v>2026-06-20</v>
      </c>
      <c r="H49" s="6" t="str">
        <f>APPRENANTS!H38</f>
        <v>11 CDEP Chemin des broutieres, 13015 MARSEILLE</v>
      </c>
      <c r="I49" s="6" t="str">
        <f>APPRENANTS!I38</f>
        <v>mendyjean1207@gmail.com</v>
      </c>
      <c r="J49" s="6" t="str">
        <f>APPRENANTS!J38</f>
        <v>784862602</v>
      </c>
      <c r="K49" s="6" t="str">
        <f>APPRENANTS!K38</f>
        <v>1987-12-07</v>
      </c>
      <c r="L49" s="11"/>
      <c r="M49" s="11"/>
      <c r="N49" s="6" t="str">
        <f>'WEDOF - EXAMEN FINAL'!D38</f>
        <v>A faire</v>
      </c>
      <c r="O49" s="6" t="str">
        <f>'WEDOF - EXAMEN FINAL'!E38</f>
        <v>A faire</v>
      </c>
      <c r="P49" s="6" t="str">
        <f>'WEDOF - EXAMEN FINAL'!H38</f>
        <v/>
      </c>
      <c r="Q49" s="6" t="str">
        <f>'WEDOF - EXAMEN FINAL'!F38</f>
        <v>A faire</v>
      </c>
      <c r="R49" s="11"/>
      <c r="S49" s="6">
        <f>'PAIEMENTS &amp; COMMISSIONS'!I38</f>
        <v>1500</v>
      </c>
      <c r="T49" s="6" t="b">
        <f t="shared" si="2"/>
        <v>1</v>
      </c>
      <c r="U49" s="6" t="b">
        <f t="shared" si="3"/>
        <v>0</v>
      </c>
      <c r="V49" s="11" t="b">
        <f t="shared" ref="V49:W49" si="39">FALSE()</f>
        <v>0</v>
      </c>
      <c r="W49" s="11" t="b">
        <f t="shared" si="39"/>
        <v>0</v>
      </c>
      <c r="X49" s="10" t="str">
        <f>APPRENANTS!Y38</f>
        <v>Oui</v>
      </c>
    </row>
    <row r="50" ht="15.0" customHeight="1">
      <c r="A50" s="6" t="str">
        <f>APPRENANTS!B39</f>
        <v>BOUASRIA Najwa</v>
      </c>
      <c r="B50" s="6" t="str">
        <f>APPRENANTS!A39</f>
        <v>Proforma Institut</v>
      </c>
      <c r="C50" s="6" t="str">
        <f>APPRENANTS!C39</f>
        <v>frere karim</v>
      </c>
      <c r="D50" s="6" t="str">
        <f>APPRENANTS!G39</f>
        <v>Accepté</v>
      </c>
      <c r="E50" s="6" t="str">
        <f>APPRENANTS!D39</f>
        <v>Développer son activité avec l’intelligence artificielle</v>
      </c>
      <c r="F50" s="6" t="str">
        <f>APPRENANTS!E39</f>
        <v>2026-06-15</v>
      </c>
      <c r="G50" s="6" t="str">
        <f>APPRENANTS!F39</f>
        <v>2026-06-20</v>
      </c>
      <c r="H50" s="6" t="str">
        <f>APPRENANTS!H39</f>
        <v>AV Marius Ruinat, 13700 MARIGNANE</v>
      </c>
      <c r="I50" s="6" t="str">
        <f>APPRENANTS!I39</f>
        <v>najwa.bouasria@gmail.com</v>
      </c>
      <c r="J50" s="6" t="str">
        <f>APPRENANTS!J39</f>
        <v>761272644</v>
      </c>
      <c r="K50" s="6" t="str">
        <f>APPRENANTS!K39</f>
        <v>1997-06-09</v>
      </c>
      <c r="L50" s="11"/>
      <c r="M50" s="11"/>
      <c r="N50" s="6" t="str">
        <f>'WEDOF - EXAMEN FINAL'!D39</f>
        <v>A faire</v>
      </c>
      <c r="O50" s="6" t="str">
        <f>'WEDOF - EXAMEN FINAL'!E39</f>
        <v>A faire</v>
      </c>
      <c r="P50" s="6" t="str">
        <f>'WEDOF - EXAMEN FINAL'!H39</f>
        <v/>
      </c>
      <c r="Q50" s="6" t="str">
        <f>'WEDOF - EXAMEN FINAL'!F39</f>
        <v>A faire</v>
      </c>
      <c r="R50" s="11"/>
      <c r="S50" s="6">
        <f>'PAIEMENTS &amp; COMMISSIONS'!I39</f>
        <v>1500</v>
      </c>
      <c r="T50" s="6" t="b">
        <f t="shared" si="2"/>
        <v>1</v>
      </c>
      <c r="U50" s="6" t="b">
        <f t="shared" si="3"/>
        <v>0</v>
      </c>
      <c r="V50" s="11" t="b">
        <f t="shared" ref="V50:W50" si="40">FALSE()</f>
        <v>0</v>
      </c>
      <c r="W50" s="11" t="b">
        <f t="shared" si="40"/>
        <v>0</v>
      </c>
      <c r="X50" s="10" t="str">
        <f>APPRENANTS!Y39</f>
        <v>Oui</v>
      </c>
    </row>
    <row r="51" ht="15.0" customHeight="1">
      <c r="A51" s="6" t="str">
        <f>APPRENANTS!B40</f>
        <v>JAVAZZO Jerome</v>
      </c>
      <c r="B51" s="6" t="str">
        <f>APPRENANTS!A40</f>
        <v>Proforma Institut</v>
      </c>
      <c r="C51" s="6" t="str">
        <f>APPRENANTS!C40</f>
        <v>hak</v>
      </c>
      <c r="D51" s="6" t="str">
        <f>APPRENANTS!G40</f>
        <v>Accepté</v>
      </c>
      <c r="E51" s="6" t="str">
        <f>APPRENANTS!D40</f>
        <v>Améliorer l'efficacité de sa TPE à l'aide de l'IA</v>
      </c>
      <c r="F51" s="6" t="str">
        <f>APPRENANTS!E40</f>
        <v>2026-06-29</v>
      </c>
      <c r="G51" s="6" t="str">
        <f>APPRENANTS!F40</f>
        <v>2026-07-04</v>
      </c>
      <c r="H51" s="6" t="str">
        <f>APPRENANTS!H40</f>
        <v/>
      </c>
      <c r="I51" s="6" t="str">
        <f>APPRENANTS!I40</f>
        <v/>
      </c>
      <c r="J51" s="6" t="str">
        <f>APPRENANTS!J40</f>
        <v/>
      </c>
      <c r="K51" s="6" t="str">
        <f>APPRENANTS!K40</f>
        <v/>
      </c>
      <c r="L51" s="11"/>
      <c r="M51" s="11"/>
      <c r="N51" s="6" t="str">
        <f>'WEDOF - EXAMEN FINAL'!D40</f>
        <v>A faire</v>
      </c>
      <c r="O51" s="6" t="str">
        <f>'WEDOF - EXAMEN FINAL'!E40</f>
        <v>A faire</v>
      </c>
      <c r="P51" s="6" t="str">
        <f>'WEDOF - EXAMEN FINAL'!H40</f>
        <v/>
      </c>
      <c r="Q51" s="6" t="str">
        <f>'WEDOF - EXAMEN FINAL'!F40</f>
        <v>A faire</v>
      </c>
      <c r="R51" s="11"/>
      <c r="S51" s="6">
        <f>'PAIEMENTS &amp; COMMISSIONS'!I40</f>
        <v>1500</v>
      </c>
      <c r="T51" s="6" t="b">
        <f t="shared" si="2"/>
        <v>1</v>
      </c>
      <c r="U51" s="6" t="b">
        <f t="shared" si="3"/>
        <v>0</v>
      </c>
      <c r="V51" s="11" t="b">
        <f t="shared" ref="V51:W51" si="41">FALSE()</f>
        <v>0</v>
      </c>
      <c r="W51" s="11" t="b">
        <f t="shared" si="41"/>
        <v>0</v>
      </c>
      <c r="X51" s="10" t="str">
        <f>APPRENANTS!Y40</f>
        <v>Oui</v>
      </c>
    </row>
    <row r="52" ht="15.0" customHeight="1">
      <c r="A52" s="6" t="str">
        <f>APPRENANTS!B41</f>
        <v>JAVAZZO Jerome</v>
      </c>
      <c r="B52" s="6" t="str">
        <f>APPRENANTS!A41</f>
        <v>Proforma Institut</v>
      </c>
      <c r="C52" s="6" t="str">
        <f>APPRENANTS!C41</f>
        <v>hak</v>
      </c>
      <c r="D52" s="6" t="str">
        <f>APPRENANTS!G41</f>
        <v>Accepté</v>
      </c>
      <c r="E52" s="6" t="str">
        <f>APPRENANTS!D41</f>
        <v>Communiquer sur les réseaux sociaux pour promouvoir sa TPE</v>
      </c>
      <c r="F52" s="6" t="str">
        <f>APPRENANTS!E41</f>
        <v>2026-06-22</v>
      </c>
      <c r="G52" s="6" t="str">
        <f>APPRENANTS!F41</f>
        <v>2026-06-27</v>
      </c>
      <c r="H52" s="6" t="str">
        <f>APPRENANTS!H41</f>
        <v/>
      </c>
      <c r="I52" s="6" t="str">
        <f>APPRENANTS!I41</f>
        <v/>
      </c>
      <c r="J52" s="6" t="str">
        <f>APPRENANTS!J41</f>
        <v/>
      </c>
      <c r="K52" s="6" t="str">
        <f>APPRENANTS!K41</f>
        <v/>
      </c>
      <c r="L52" s="11"/>
      <c r="M52" s="11"/>
      <c r="N52" s="6" t="str">
        <f>'WEDOF - EXAMEN FINAL'!D41</f>
        <v>A faire</v>
      </c>
      <c r="O52" s="6" t="str">
        <f>'WEDOF - EXAMEN FINAL'!E41</f>
        <v>A faire</v>
      </c>
      <c r="P52" s="6" t="str">
        <f>'WEDOF - EXAMEN FINAL'!H41</f>
        <v/>
      </c>
      <c r="Q52" s="6" t="str">
        <f>'WEDOF - EXAMEN FINAL'!F41</f>
        <v>A faire</v>
      </c>
      <c r="R52" s="11"/>
      <c r="S52" s="6">
        <f>'PAIEMENTS &amp; COMMISSIONS'!I41</f>
        <v>1500</v>
      </c>
      <c r="T52" s="6" t="b">
        <f t="shared" si="2"/>
        <v>1</v>
      </c>
      <c r="U52" s="6" t="b">
        <f t="shared" si="3"/>
        <v>0</v>
      </c>
      <c r="V52" s="11" t="b">
        <f t="shared" ref="V52:W52" si="42">FALSE()</f>
        <v>0</v>
      </c>
      <c r="W52" s="11" t="b">
        <f t="shared" si="42"/>
        <v>0</v>
      </c>
      <c r="X52" s="10" t="str">
        <f>APPRENANTS!Y41</f>
        <v>Oui</v>
      </c>
    </row>
    <row r="53" ht="15.0" customHeight="1">
      <c r="A53" s="6" t="str">
        <f>APPRENANTS!B42</f>
        <v>KECHIOUCHE Younes</v>
      </c>
      <c r="B53" s="6" t="str">
        <f>APPRENANTS!A42</f>
        <v>Proforma Institut</v>
      </c>
      <c r="C53" s="6" t="str">
        <f>APPRENANTS!C42</f>
        <v>hak</v>
      </c>
      <c r="D53" s="6" t="str">
        <f>APPRENANTS!G42</f>
        <v>Accepté</v>
      </c>
      <c r="E53" s="6" t="str">
        <f>APPRENANTS!D42</f>
        <v>Développer son activité avec l’intelligence artificielle</v>
      </c>
      <c r="F53" s="6" t="str">
        <f>APPRENANTS!E42</f>
        <v>2026-06-22</v>
      </c>
      <c r="G53" s="6" t="str">
        <f>APPRENANTS!F42</f>
        <v>2026-06-27</v>
      </c>
      <c r="H53" s="6" t="str">
        <f>APPRENANTS!H42</f>
        <v/>
      </c>
      <c r="I53" s="6" t="str">
        <f>APPRENANTS!I42</f>
        <v/>
      </c>
      <c r="J53" s="6" t="str">
        <f>APPRENANTS!J42</f>
        <v/>
      </c>
      <c r="K53" s="6" t="str">
        <f>APPRENANTS!K42</f>
        <v/>
      </c>
      <c r="L53" s="11"/>
      <c r="M53" s="11"/>
      <c r="N53" s="6" t="str">
        <f>'WEDOF - EXAMEN FINAL'!D42</f>
        <v>A faire</v>
      </c>
      <c r="O53" s="6" t="str">
        <f>'WEDOF - EXAMEN FINAL'!E42</f>
        <v>A faire</v>
      </c>
      <c r="P53" s="6" t="str">
        <f>'WEDOF - EXAMEN FINAL'!H42</f>
        <v/>
      </c>
      <c r="Q53" s="6" t="str">
        <f>'WEDOF - EXAMEN FINAL'!F42</f>
        <v>A faire</v>
      </c>
      <c r="R53" s="11"/>
      <c r="S53" s="6">
        <f>'PAIEMENTS &amp; COMMISSIONS'!I42</f>
        <v>1500</v>
      </c>
      <c r="T53" s="6" t="b">
        <f t="shared" si="2"/>
        <v>1</v>
      </c>
      <c r="U53" s="6" t="b">
        <f t="shared" si="3"/>
        <v>0</v>
      </c>
      <c r="V53" s="11" t="b">
        <f t="shared" ref="V53:W53" si="43">FALSE()</f>
        <v>0</v>
      </c>
      <c r="W53" s="11" t="b">
        <f t="shared" si="43"/>
        <v>0</v>
      </c>
      <c r="X53" s="10" t="str">
        <f>APPRENANTS!Y42</f>
        <v>Oui</v>
      </c>
    </row>
    <row r="54" ht="15.0" customHeight="1">
      <c r="A54" s="6" t="str">
        <f>APPRENANTS!B43</f>
        <v>LAHRAOUI Amir</v>
      </c>
      <c r="B54" s="6" t="str">
        <f>APPRENANTS!A43</f>
        <v>Proforma Institut</v>
      </c>
      <c r="C54" s="6" t="str">
        <f>APPRENANTS!C43</f>
        <v>GRAS</v>
      </c>
      <c r="D54" s="6" t="str">
        <f>APPRENANTS!G43</f>
        <v>Accepté</v>
      </c>
      <c r="E54" s="6" t="str">
        <f>APPRENANTS!D43</f>
        <v>Améliorer l'efficacité de sa TPE à l'aide de l'IA</v>
      </c>
      <c r="F54" s="6" t="str">
        <f>APPRENANTS!E43</f>
        <v>2026-06-29</v>
      </c>
      <c r="G54" s="6" t="str">
        <f>APPRENANTS!F43</f>
        <v>2026-07-04</v>
      </c>
      <c r="H54" s="6" t="str">
        <f>APPRENANTS!H43</f>
        <v/>
      </c>
      <c r="I54" s="6" t="str">
        <f>APPRENANTS!I43</f>
        <v/>
      </c>
      <c r="J54" s="6" t="str">
        <f>APPRENANTS!J43</f>
        <v/>
      </c>
      <c r="K54" s="6" t="str">
        <f>APPRENANTS!K43</f>
        <v/>
      </c>
      <c r="L54" s="11"/>
      <c r="M54" s="11"/>
      <c r="N54" s="6" t="str">
        <f>'WEDOF - EXAMEN FINAL'!D43</f>
        <v>A faire</v>
      </c>
      <c r="O54" s="6" t="str">
        <f>'WEDOF - EXAMEN FINAL'!E43</f>
        <v>A faire</v>
      </c>
      <c r="P54" s="6" t="str">
        <f>'WEDOF - EXAMEN FINAL'!H43</f>
        <v/>
      </c>
      <c r="Q54" s="6" t="str">
        <f>'WEDOF - EXAMEN FINAL'!F43</f>
        <v>A faire</v>
      </c>
      <c r="R54" s="11"/>
      <c r="S54" s="6">
        <f>'PAIEMENTS &amp; COMMISSIONS'!I43</f>
        <v>1500</v>
      </c>
      <c r="T54" s="6" t="b">
        <f t="shared" si="2"/>
        <v>1</v>
      </c>
      <c r="U54" s="6" t="b">
        <f t="shared" si="3"/>
        <v>0</v>
      </c>
      <c r="V54" s="11" t="b">
        <f t="shared" ref="V54:W54" si="44">FALSE()</f>
        <v>0</v>
      </c>
      <c r="W54" s="11" t="b">
        <f t="shared" si="44"/>
        <v>0</v>
      </c>
      <c r="X54" s="10" t="str">
        <f>APPRENANTS!Y43</f>
        <v>Oui</v>
      </c>
    </row>
    <row r="55" ht="15.0" customHeight="1">
      <c r="A55" s="6" t="str">
        <f>APPRENANTS!B44</f>
        <v>LAHRAOUI Amir</v>
      </c>
      <c r="B55" s="6" t="str">
        <f>APPRENANTS!A44</f>
        <v>Proforma Institut</v>
      </c>
      <c r="C55" s="6" t="str">
        <f>APPRENANTS!C44</f>
        <v>GRAS</v>
      </c>
      <c r="D55" s="6" t="str">
        <f>APPRENANTS!G44</f>
        <v>Accepté</v>
      </c>
      <c r="E55" s="6" t="str">
        <f>APPRENANTS!D44</f>
        <v>Communiquer sur les réseaux sociaux pour promouvoir sa TPE</v>
      </c>
      <c r="F55" s="6" t="str">
        <f>APPRENANTS!E44</f>
        <v>2026-07-06</v>
      </c>
      <c r="G55" s="6" t="str">
        <f>APPRENANTS!F44</f>
        <v>2026-07-11</v>
      </c>
      <c r="H55" s="6" t="str">
        <f>APPRENANTS!H44</f>
        <v/>
      </c>
      <c r="I55" s="6" t="str">
        <f>APPRENANTS!I44</f>
        <v/>
      </c>
      <c r="J55" s="6" t="str">
        <f>APPRENANTS!J44</f>
        <v/>
      </c>
      <c r="K55" s="6" t="str">
        <f>APPRENANTS!K44</f>
        <v/>
      </c>
      <c r="L55" s="11"/>
      <c r="M55" s="11"/>
      <c r="N55" s="6" t="str">
        <f>'WEDOF - EXAMEN FINAL'!D44</f>
        <v>A faire</v>
      </c>
      <c r="O55" s="6" t="str">
        <f>'WEDOF - EXAMEN FINAL'!E44</f>
        <v>A faire</v>
      </c>
      <c r="P55" s="6" t="str">
        <f>'WEDOF - EXAMEN FINAL'!H44</f>
        <v/>
      </c>
      <c r="Q55" s="6" t="str">
        <f>'WEDOF - EXAMEN FINAL'!F44</f>
        <v>A faire</v>
      </c>
      <c r="R55" s="11"/>
      <c r="S55" s="6">
        <f>'PAIEMENTS &amp; COMMISSIONS'!I44</f>
        <v>1500</v>
      </c>
      <c r="T55" s="6" t="b">
        <f t="shared" si="2"/>
        <v>1</v>
      </c>
      <c r="U55" s="6" t="b">
        <f t="shared" si="3"/>
        <v>0</v>
      </c>
      <c r="V55" s="11" t="b">
        <f t="shared" ref="V55:W55" si="45">FALSE()</f>
        <v>0</v>
      </c>
      <c r="W55" s="11" t="b">
        <f t="shared" si="45"/>
        <v>0</v>
      </c>
      <c r="X55" s="10" t="str">
        <f>APPRENANTS!Y44</f>
        <v>Oui</v>
      </c>
    </row>
    <row r="56" ht="15.0" customHeight="1">
      <c r="A56" s="6" t="str">
        <f>APPRENANTS!B45</f>
        <v>LAHRAOUI Amir</v>
      </c>
      <c r="B56" s="6" t="str">
        <f>APPRENANTS!A45</f>
        <v>Proforma Institut</v>
      </c>
      <c r="C56" s="6" t="str">
        <f>APPRENANTS!C45</f>
        <v>GRAS</v>
      </c>
      <c r="D56" s="6" t="str">
        <f>APPRENANTS!G45</f>
        <v>Accepté</v>
      </c>
      <c r="E56" s="6" t="str">
        <f>APPRENANTS!D45</f>
        <v>Réaliser les opérations comptables courantes d'une TPE</v>
      </c>
      <c r="F56" s="6" t="str">
        <f>APPRENANTS!E45</f>
        <v>2026-07-13</v>
      </c>
      <c r="G56" s="6" t="str">
        <f>APPRENANTS!F45</f>
        <v>2026-07-18</v>
      </c>
      <c r="H56" s="6" t="str">
        <f>APPRENANTS!H45</f>
        <v/>
      </c>
      <c r="I56" s="6" t="str">
        <f>APPRENANTS!I45</f>
        <v/>
      </c>
      <c r="J56" s="6" t="str">
        <f>APPRENANTS!J45</f>
        <v/>
      </c>
      <c r="K56" s="6" t="str">
        <f>APPRENANTS!K45</f>
        <v/>
      </c>
      <c r="L56" s="11"/>
      <c r="M56" s="11"/>
      <c r="N56" s="6" t="str">
        <f>'WEDOF - EXAMEN FINAL'!D45</f>
        <v>A faire</v>
      </c>
      <c r="O56" s="6" t="str">
        <f>'WEDOF - EXAMEN FINAL'!E45</f>
        <v>A faire</v>
      </c>
      <c r="P56" s="6" t="str">
        <f>'WEDOF - EXAMEN FINAL'!H45</f>
        <v/>
      </c>
      <c r="Q56" s="6" t="str">
        <f>'WEDOF - EXAMEN FINAL'!F45</f>
        <v>A faire</v>
      </c>
      <c r="R56" s="11"/>
      <c r="S56" s="6">
        <f>'PAIEMENTS &amp; COMMISSIONS'!I45</f>
        <v>1500</v>
      </c>
      <c r="T56" s="6" t="b">
        <f t="shared" si="2"/>
        <v>1</v>
      </c>
      <c r="U56" s="6" t="b">
        <f t="shared" si="3"/>
        <v>0</v>
      </c>
      <c r="V56" s="11" t="b">
        <f t="shared" ref="V56:W56" si="46">FALSE()</f>
        <v>0</v>
      </c>
      <c r="W56" s="11" t="b">
        <f t="shared" si="46"/>
        <v>0</v>
      </c>
      <c r="X56" s="10" t="str">
        <f>APPRENANTS!Y45</f>
        <v>Oui</v>
      </c>
    </row>
    <row r="57" ht="15.0" customHeight="1">
      <c r="A57" s="6" t="str">
        <f>APPRENANTS!B46</f>
        <v>blot valerie</v>
      </c>
      <c r="B57" s="6" t="str">
        <f>APPRENANTS!A46</f>
        <v>Proforma Institut</v>
      </c>
      <c r="C57" s="6" t="str">
        <f>APPRENANTS!C46</f>
        <v>Djody</v>
      </c>
      <c r="D57" s="6" t="str">
        <f>APPRENANTS!G46</f>
        <v>Accepté</v>
      </c>
      <c r="E57" s="6" t="str">
        <f>APPRENANTS!D46</f>
        <v>Réaliser les opérations comptables courantes d'une TPE</v>
      </c>
      <c r="F57" s="6" t="str">
        <f>APPRENANTS!E46</f>
        <v>2026-06-24</v>
      </c>
      <c r="G57" s="6" t="str">
        <f>APPRENANTS!F46</f>
        <v>2026-07-24</v>
      </c>
      <c r="H57" s="6" t="str">
        <f>APPRENANTS!H46</f>
        <v/>
      </c>
      <c r="I57" s="6" t="str">
        <f>APPRENANTS!I46</f>
        <v/>
      </c>
      <c r="J57" s="6" t="str">
        <f>APPRENANTS!J46</f>
        <v/>
      </c>
      <c r="K57" s="6" t="str">
        <f>APPRENANTS!K46</f>
        <v/>
      </c>
      <c r="L57" s="11"/>
      <c r="M57" s="11"/>
      <c r="N57" s="6" t="str">
        <f>'WEDOF - EXAMEN FINAL'!D46</f>
        <v>A faire</v>
      </c>
      <c r="O57" s="6" t="str">
        <f>'WEDOF - EXAMEN FINAL'!E46</f>
        <v>A faire</v>
      </c>
      <c r="P57" s="6" t="str">
        <f>'WEDOF - EXAMEN FINAL'!H46</f>
        <v/>
      </c>
      <c r="Q57" s="6" t="str">
        <f>'WEDOF - EXAMEN FINAL'!F46</f>
        <v>A faire</v>
      </c>
      <c r="R57" s="11"/>
      <c r="S57" s="6">
        <f>'PAIEMENTS &amp; COMMISSIONS'!I46</f>
        <v>1500</v>
      </c>
      <c r="T57" s="6" t="b">
        <f t="shared" si="2"/>
        <v>1</v>
      </c>
      <c r="U57" s="6" t="b">
        <f t="shared" si="3"/>
        <v>0</v>
      </c>
      <c r="V57" s="11" t="b">
        <f t="shared" ref="V57:W57" si="47">FALSE()</f>
        <v>0</v>
      </c>
      <c r="W57" s="11" t="b">
        <f t="shared" si="47"/>
        <v>0</v>
      </c>
      <c r="X57" s="10" t="str">
        <f>APPRENANTS!Y46</f>
        <v>Oui</v>
      </c>
    </row>
    <row r="58" ht="15.0" customHeight="1">
      <c r="A58" s="6" t="str">
        <f>APPRENANTS!B47</f>
        <v>CARRETTA Capucine</v>
      </c>
      <c r="B58" s="6" t="str">
        <f>APPRENANTS!A47</f>
        <v>Proforma Institut</v>
      </c>
      <c r="C58" s="6" t="str">
        <f>APPRENANTS!C47</f>
        <v>jules</v>
      </c>
      <c r="D58" s="6" t="str">
        <f>APPRENANTS!G47</f>
        <v>Accepté</v>
      </c>
      <c r="E58" s="6" t="str">
        <f>APPRENANTS!D47</f>
        <v>Développer son activité avec l’intelligence artificielle</v>
      </c>
      <c r="F58" s="6" t="str">
        <f>APPRENANTS!E47</f>
        <v>2026-06-29</v>
      </c>
      <c r="G58" s="6" t="str">
        <f>APPRENANTS!F47</f>
        <v>2026-07-04</v>
      </c>
      <c r="H58" s="6" t="str">
        <f>APPRENANTS!H47</f>
        <v/>
      </c>
      <c r="I58" s="6" t="str">
        <f>APPRENANTS!I47</f>
        <v/>
      </c>
      <c r="J58" s="6" t="str">
        <f>APPRENANTS!J47</f>
        <v/>
      </c>
      <c r="K58" s="6" t="str">
        <f>APPRENANTS!K47</f>
        <v/>
      </c>
      <c r="L58" s="11"/>
      <c r="M58" s="11"/>
      <c r="N58" s="6" t="str">
        <f>'WEDOF - EXAMEN FINAL'!D47</f>
        <v>A faire</v>
      </c>
      <c r="O58" s="6" t="str">
        <f>'WEDOF - EXAMEN FINAL'!E47</f>
        <v>A faire</v>
      </c>
      <c r="P58" s="6" t="str">
        <f>'WEDOF - EXAMEN FINAL'!H47</f>
        <v/>
      </c>
      <c r="Q58" s="6" t="str">
        <f>'WEDOF - EXAMEN FINAL'!F47</f>
        <v>A faire</v>
      </c>
      <c r="R58" s="11"/>
      <c r="S58" s="6">
        <f>'PAIEMENTS &amp; COMMISSIONS'!I47</f>
        <v>1500</v>
      </c>
      <c r="T58" s="6" t="b">
        <f t="shared" si="2"/>
        <v>1</v>
      </c>
      <c r="U58" s="6" t="b">
        <f t="shared" si="3"/>
        <v>0</v>
      </c>
      <c r="V58" s="11" t="b">
        <f t="shared" ref="V58:W58" si="48">FALSE()</f>
        <v>0</v>
      </c>
      <c r="W58" s="11" t="b">
        <f t="shared" si="48"/>
        <v>0</v>
      </c>
      <c r="X58" s="10" t="str">
        <f>APPRENANTS!Y47</f>
        <v>Oui</v>
      </c>
    </row>
    <row r="59" ht="15.0" customHeight="1">
      <c r="A59" s="6" t="str">
        <f>APPRENANTS!B48</f>
        <v>OUAHAB Yanis</v>
      </c>
      <c r="B59" s="6" t="str">
        <f>APPRENANTS!A48</f>
        <v>Proforma Institut</v>
      </c>
      <c r="C59" s="6" t="str">
        <f>APPRENANTS!C48</f>
        <v>priscot</v>
      </c>
      <c r="D59" s="6" t="str">
        <f>APPRENANTS!G48</f>
        <v>Accepté</v>
      </c>
      <c r="E59" s="6" t="str">
        <f>APPRENANTS!D48</f>
        <v>Améliorer l'efficacité de sa TPE à l'aide de l'IA</v>
      </c>
      <c r="F59" s="6" t="str">
        <f>APPRENANTS!E48</f>
        <v>2026-06-29</v>
      </c>
      <c r="G59" s="6" t="str">
        <f>APPRENANTS!F48</f>
        <v>2026-07-04</v>
      </c>
      <c r="H59" s="6" t="str">
        <f>APPRENANTS!H48</f>
        <v/>
      </c>
      <c r="I59" s="6" t="str">
        <f>APPRENANTS!I48</f>
        <v/>
      </c>
      <c r="J59" s="6" t="str">
        <f>APPRENANTS!J48</f>
        <v/>
      </c>
      <c r="K59" s="6" t="str">
        <f>APPRENANTS!K48</f>
        <v/>
      </c>
      <c r="L59" s="11"/>
      <c r="M59" s="11"/>
      <c r="N59" s="6" t="str">
        <f>'WEDOF - EXAMEN FINAL'!D48</f>
        <v>A faire</v>
      </c>
      <c r="O59" s="6" t="str">
        <f>'WEDOF - EXAMEN FINAL'!E48</f>
        <v>A faire</v>
      </c>
      <c r="P59" s="6" t="str">
        <f>'WEDOF - EXAMEN FINAL'!H48</f>
        <v/>
      </c>
      <c r="Q59" s="6" t="str">
        <f>'WEDOF - EXAMEN FINAL'!F48</f>
        <v>A faire</v>
      </c>
      <c r="R59" s="11"/>
      <c r="S59" s="6">
        <f>'PAIEMENTS &amp; COMMISSIONS'!I48</f>
        <v>1500</v>
      </c>
      <c r="T59" s="6" t="b">
        <f t="shared" si="2"/>
        <v>1</v>
      </c>
      <c r="U59" s="6" t="b">
        <f t="shared" si="3"/>
        <v>0</v>
      </c>
      <c r="V59" s="11" t="b">
        <f t="shared" ref="V59:W59" si="49">FALSE()</f>
        <v>0</v>
      </c>
      <c r="W59" s="11" t="b">
        <f t="shared" si="49"/>
        <v>0</v>
      </c>
      <c r="X59" s="10" t="str">
        <f>APPRENANTS!Y48</f>
        <v>Oui</v>
      </c>
    </row>
    <row r="60" ht="15.0" customHeight="1">
      <c r="A60" s="6" t="str">
        <f>APPRENANTS!B49</f>
        <v>OUAHAB Yanis</v>
      </c>
      <c r="B60" s="6" t="str">
        <f>APPRENANTS!A49</f>
        <v>Proforma Institut</v>
      </c>
      <c r="C60" s="6" t="str">
        <f>APPRENANTS!C49</f>
        <v>priscot</v>
      </c>
      <c r="D60" s="6" t="str">
        <f>APPRENANTS!G49</f>
        <v>Accepté</v>
      </c>
      <c r="E60" s="6" t="str">
        <f>APPRENANTS!D49</f>
        <v>Communiquer sur les réseaux sociaux pour promouvoir sa TPE</v>
      </c>
      <c r="F60" s="6" t="str">
        <f>APPRENANTS!E49</f>
        <v>2026-07-06</v>
      </c>
      <c r="G60" s="6" t="str">
        <f>APPRENANTS!F49</f>
        <v>2026-07-11</v>
      </c>
      <c r="H60" s="6" t="str">
        <f>APPRENANTS!H49</f>
        <v/>
      </c>
      <c r="I60" s="6" t="str">
        <f>APPRENANTS!I49</f>
        <v/>
      </c>
      <c r="J60" s="6" t="str">
        <f>APPRENANTS!J49</f>
        <v/>
      </c>
      <c r="K60" s="6" t="str">
        <f>APPRENANTS!K49</f>
        <v/>
      </c>
      <c r="L60" s="11"/>
      <c r="M60" s="11"/>
      <c r="N60" s="6" t="str">
        <f>'WEDOF - EXAMEN FINAL'!D49</f>
        <v>A faire</v>
      </c>
      <c r="O60" s="6" t="str">
        <f>'WEDOF - EXAMEN FINAL'!E49</f>
        <v>A faire</v>
      </c>
      <c r="P60" s="6" t="str">
        <f>'WEDOF - EXAMEN FINAL'!H49</f>
        <v/>
      </c>
      <c r="Q60" s="6" t="str">
        <f>'WEDOF - EXAMEN FINAL'!F49</f>
        <v>A faire</v>
      </c>
      <c r="R60" s="11"/>
      <c r="S60" s="6">
        <f>'PAIEMENTS &amp; COMMISSIONS'!I49</f>
        <v>1500</v>
      </c>
      <c r="T60" s="6" t="b">
        <f t="shared" si="2"/>
        <v>1</v>
      </c>
      <c r="U60" s="6" t="b">
        <f t="shared" si="3"/>
        <v>0</v>
      </c>
      <c r="V60" s="11" t="b">
        <f t="shared" ref="V60:W60" si="50">FALSE()</f>
        <v>0</v>
      </c>
      <c r="W60" s="11" t="b">
        <f t="shared" si="50"/>
        <v>0</v>
      </c>
      <c r="X60" s="10" t="str">
        <f>APPRENANTS!Y49</f>
        <v>Oui</v>
      </c>
    </row>
    <row r="61" ht="15.0" customHeight="1">
      <c r="A61" s="6" t="str">
        <f>APPRENANTS!B50</f>
        <v>DJIBILIAN Yoann</v>
      </c>
      <c r="B61" s="6" t="str">
        <f>APPRENANTS!A50</f>
        <v>Proforma Institut</v>
      </c>
      <c r="C61" s="6" t="str">
        <f>APPRENANTS!C50</f>
        <v>Nedjma</v>
      </c>
      <c r="D61" s="6" t="str">
        <f>APPRENANTS!G50</f>
        <v>Accepté</v>
      </c>
      <c r="E61" s="6" t="str">
        <f>APPRENANTS!D50</f>
        <v>Améliorer l'efficacité de sa TPE à l'aide de l'IA</v>
      </c>
      <c r="F61" s="6" t="str">
        <f>APPRENANTS!E50</f>
        <v>2026-06-29</v>
      </c>
      <c r="G61" s="6" t="str">
        <f>APPRENANTS!F50</f>
        <v>2026-07-04</v>
      </c>
      <c r="H61" s="6" t="str">
        <f>APPRENANTS!H50</f>
        <v>18 PL place d'Amont, 13390 AURIOL</v>
      </c>
      <c r="I61" s="6" t="str">
        <f>APPRENANTS!I50</f>
        <v>yoann.djibilian@laposte.net</v>
      </c>
      <c r="J61" s="6" t="str">
        <f>APPRENANTS!J50</f>
        <v>645742336</v>
      </c>
      <c r="K61" s="6" t="str">
        <f>APPRENANTS!K50</f>
        <v>26/09/1999</v>
      </c>
      <c r="L61" s="11"/>
      <c r="M61" s="11"/>
      <c r="N61" s="6" t="str">
        <f>'WEDOF - EXAMEN FINAL'!D50</f>
        <v>A faire</v>
      </c>
      <c r="O61" s="6" t="str">
        <f>'WEDOF - EXAMEN FINAL'!E50</f>
        <v>A faire</v>
      </c>
      <c r="P61" s="6" t="str">
        <f>'WEDOF - EXAMEN FINAL'!H50</f>
        <v/>
      </c>
      <c r="Q61" s="6" t="str">
        <f>'WEDOF - EXAMEN FINAL'!F50</f>
        <v>A faire</v>
      </c>
      <c r="R61" s="11"/>
      <c r="S61" s="6">
        <f>'PAIEMENTS &amp; COMMISSIONS'!I50</f>
        <v>1500</v>
      </c>
      <c r="T61" s="6" t="b">
        <f t="shared" si="2"/>
        <v>1</v>
      </c>
      <c r="U61" s="6" t="b">
        <f t="shared" si="3"/>
        <v>0</v>
      </c>
      <c r="V61" s="11" t="b">
        <f t="shared" ref="V61:W61" si="51">FALSE()</f>
        <v>0</v>
      </c>
      <c r="W61" s="11" t="b">
        <f t="shared" si="51"/>
        <v>0</v>
      </c>
      <c r="X61" s="10" t="str">
        <f>APPRENANTS!Y50</f>
        <v>Oui</v>
      </c>
    </row>
    <row r="62" ht="15.0" customHeight="1">
      <c r="A62" s="6" t="str">
        <f>APPRENANTS!B51</f>
        <v>DJIBILIAN Yoann</v>
      </c>
      <c r="B62" s="6" t="str">
        <f>APPRENANTS!A51</f>
        <v>Proforma Institut</v>
      </c>
      <c r="C62" s="6" t="str">
        <f>APPRENANTS!C51</f>
        <v>Nedjma</v>
      </c>
      <c r="D62" s="6" t="str">
        <f>APPRENANTS!G51</f>
        <v>Accepté</v>
      </c>
      <c r="E62" s="6" t="str">
        <f>APPRENANTS!D51</f>
        <v>Communiquer sur les réseaux sociaux pour promouvoir sa TPE</v>
      </c>
      <c r="F62" s="6" t="str">
        <f>APPRENANTS!E51</f>
        <v>2026-07-06</v>
      </c>
      <c r="G62" s="6" t="str">
        <f>APPRENANTS!F51</f>
        <v>2026-07-11</v>
      </c>
      <c r="H62" s="6" t="str">
        <f>APPRENANTS!H51</f>
        <v>18 PL place d'Amont, 13390 AURIOL</v>
      </c>
      <c r="I62" s="6" t="str">
        <f>APPRENANTS!I51</f>
        <v>yoann.djibilian@laposte.net</v>
      </c>
      <c r="J62" s="6" t="str">
        <f>APPRENANTS!J51</f>
        <v>645742336</v>
      </c>
      <c r="K62" s="6" t="str">
        <f>APPRENANTS!K51</f>
        <v>26/09/1999</v>
      </c>
      <c r="L62" s="11"/>
      <c r="M62" s="11"/>
      <c r="N62" s="6" t="str">
        <f>'WEDOF - EXAMEN FINAL'!D51</f>
        <v>A faire</v>
      </c>
      <c r="O62" s="6" t="str">
        <f>'WEDOF - EXAMEN FINAL'!E51</f>
        <v>A faire</v>
      </c>
      <c r="P62" s="6" t="str">
        <f>'WEDOF - EXAMEN FINAL'!H51</f>
        <v/>
      </c>
      <c r="Q62" s="6" t="str">
        <f>'WEDOF - EXAMEN FINAL'!F51</f>
        <v>A faire</v>
      </c>
      <c r="R62" s="11"/>
      <c r="S62" s="6">
        <f>'PAIEMENTS &amp; COMMISSIONS'!I51</f>
        <v>1500</v>
      </c>
      <c r="T62" s="6" t="b">
        <f t="shared" si="2"/>
        <v>1</v>
      </c>
      <c r="U62" s="6" t="b">
        <f t="shared" si="3"/>
        <v>0</v>
      </c>
      <c r="V62" s="11" t="b">
        <f t="shared" ref="V62:W62" si="52">FALSE()</f>
        <v>0</v>
      </c>
      <c r="W62" s="11" t="b">
        <f t="shared" si="52"/>
        <v>0</v>
      </c>
      <c r="X62" s="10" t="str">
        <f>APPRENANTS!Y51</f>
        <v>Oui</v>
      </c>
    </row>
    <row r="63" ht="15.0" customHeight="1">
      <c r="A63" s="6" t="str">
        <f>APPRENANTS!B52</f>
        <v>FRANGIAN Vazguen</v>
      </c>
      <c r="B63" s="6" t="str">
        <f>APPRENANTS!A52</f>
        <v>Proforma Institut</v>
      </c>
      <c r="C63" s="6" t="str">
        <f>APPRENANTS!C52</f>
        <v>GRAS</v>
      </c>
      <c r="D63" s="6" t="str">
        <f>APPRENANTS!G52</f>
        <v>Accepté</v>
      </c>
      <c r="E63" s="6" t="str">
        <f>APPRENANTS!D52</f>
        <v>Améliorer l'efficacité de sa TPE à l'aide de l'IA</v>
      </c>
      <c r="F63" s="6" t="str">
        <f>APPRENANTS!E52</f>
        <v>2026-07-13</v>
      </c>
      <c r="G63" s="6" t="str">
        <f>APPRENANTS!F52</f>
        <v>2026-07-18</v>
      </c>
      <c r="H63" s="6" t="str">
        <f>APPRENANTS!H52</f>
        <v/>
      </c>
      <c r="I63" s="6" t="str">
        <f>APPRENANTS!I52</f>
        <v/>
      </c>
      <c r="J63" s="6" t="str">
        <f>APPRENANTS!J52</f>
        <v/>
      </c>
      <c r="K63" s="6" t="str">
        <f>APPRENANTS!K52</f>
        <v/>
      </c>
      <c r="L63" s="11"/>
      <c r="M63" s="11"/>
      <c r="N63" s="6" t="str">
        <f>'WEDOF - EXAMEN FINAL'!D52</f>
        <v>A faire</v>
      </c>
      <c r="O63" s="6" t="str">
        <f>'WEDOF - EXAMEN FINAL'!E52</f>
        <v>A faire</v>
      </c>
      <c r="P63" s="6" t="str">
        <f>'WEDOF - EXAMEN FINAL'!H52</f>
        <v/>
      </c>
      <c r="Q63" s="6" t="str">
        <f>'WEDOF - EXAMEN FINAL'!F52</f>
        <v>A faire</v>
      </c>
      <c r="R63" s="11"/>
      <c r="S63" s="6">
        <f>'PAIEMENTS &amp; COMMISSIONS'!I52</f>
        <v>1500</v>
      </c>
      <c r="T63" s="6" t="b">
        <f t="shared" si="2"/>
        <v>1</v>
      </c>
      <c r="U63" s="6" t="b">
        <f t="shared" si="3"/>
        <v>0</v>
      </c>
      <c r="V63" s="11" t="b">
        <f t="shared" ref="V63:W63" si="53">FALSE()</f>
        <v>0</v>
      </c>
      <c r="W63" s="11" t="b">
        <f t="shared" si="53"/>
        <v>0</v>
      </c>
      <c r="X63" s="10" t="str">
        <f>APPRENANTS!Y52</f>
        <v>Oui</v>
      </c>
    </row>
    <row r="64" ht="15.0" customHeight="1">
      <c r="A64" s="6" t="str">
        <f>APPRENANTS!B53</f>
        <v>FRANGIAN Vazguen</v>
      </c>
      <c r="B64" s="6" t="str">
        <f>APPRENANTS!A53</f>
        <v>Proforma Institut</v>
      </c>
      <c r="C64" s="6" t="str">
        <f>APPRENANTS!C53</f>
        <v>GRAS</v>
      </c>
      <c r="D64" s="6" t="str">
        <f>APPRENANTS!G53</f>
        <v>Accepté</v>
      </c>
      <c r="E64" s="6" t="str">
        <f>APPRENANTS!D53</f>
        <v>Communiquer sur les réseaux sociaux pour promouvoir sa TPE</v>
      </c>
      <c r="F64" s="6" t="str">
        <f>APPRENANTS!E53</f>
        <v>2026-07-20</v>
      </c>
      <c r="G64" s="6" t="str">
        <f>APPRENANTS!F53</f>
        <v>2026-07-25</v>
      </c>
      <c r="H64" s="6" t="str">
        <f>APPRENANTS!H53</f>
        <v/>
      </c>
      <c r="I64" s="6" t="str">
        <f>APPRENANTS!I53</f>
        <v/>
      </c>
      <c r="J64" s="6" t="str">
        <f>APPRENANTS!J53</f>
        <v/>
      </c>
      <c r="K64" s="6" t="str">
        <f>APPRENANTS!K53</f>
        <v/>
      </c>
      <c r="L64" s="11"/>
      <c r="M64" s="11"/>
      <c r="N64" s="6" t="str">
        <f>'WEDOF - EXAMEN FINAL'!D53</f>
        <v>A faire</v>
      </c>
      <c r="O64" s="6" t="str">
        <f>'WEDOF - EXAMEN FINAL'!E53</f>
        <v>A faire</v>
      </c>
      <c r="P64" s="6" t="str">
        <f>'WEDOF - EXAMEN FINAL'!H53</f>
        <v/>
      </c>
      <c r="Q64" s="6" t="str">
        <f>'WEDOF - EXAMEN FINAL'!F53</f>
        <v>A faire</v>
      </c>
      <c r="R64" s="11"/>
      <c r="S64" s="6">
        <f>'PAIEMENTS &amp; COMMISSIONS'!I53</f>
        <v>1500</v>
      </c>
      <c r="T64" s="6" t="b">
        <f t="shared" si="2"/>
        <v>1</v>
      </c>
      <c r="U64" s="6" t="b">
        <f t="shared" si="3"/>
        <v>0</v>
      </c>
      <c r="V64" s="11" t="b">
        <f t="shared" ref="V64:W64" si="54">FALSE()</f>
        <v>0</v>
      </c>
      <c r="W64" s="11" t="b">
        <f t="shared" si="54"/>
        <v>0</v>
      </c>
      <c r="X64" s="10" t="str">
        <f>APPRENANTS!Y53</f>
        <v>Oui</v>
      </c>
    </row>
    <row r="65" ht="15.0" customHeight="1">
      <c r="A65" s="6" t="str">
        <f>APPRENANTS!B54</f>
        <v>FRANGIAN Vazguen</v>
      </c>
      <c r="B65" s="6" t="str">
        <f>APPRENANTS!A54</f>
        <v>Proforma Institut</v>
      </c>
      <c r="C65" s="6" t="str">
        <f>APPRENANTS!C54</f>
        <v>GRAS</v>
      </c>
      <c r="D65" s="6" t="str">
        <f>APPRENANTS!G54</f>
        <v>Accepté</v>
      </c>
      <c r="E65" s="6" t="str">
        <f>APPRENANTS!D54</f>
        <v>Réaliser les opérations comptables courantes d'une TPE</v>
      </c>
      <c r="F65" s="6" t="str">
        <f>APPRENANTS!E54</f>
        <v>2026-07-27</v>
      </c>
      <c r="G65" s="6" t="str">
        <f>APPRENANTS!F54</f>
        <v>2026-08-01</v>
      </c>
      <c r="H65" s="6" t="str">
        <f>APPRENANTS!H54</f>
        <v/>
      </c>
      <c r="I65" s="6" t="str">
        <f>APPRENANTS!I54</f>
        <v/>
      </c>
      <c r="J65" s="6" t="str">
        <f>APPRENANTS!J54</f>
        <v/>
      </c>
      <c r="K65" s="6" t="str">
        <f>APPRENANTS!K54</f>
        <v/>
      </c>
      <c r="L65" s="11"/>
      <c r="M65" s="11"/>
      <c r="N65" s="6" t="str">
        <f>'WEDOF - EXAMEN FINAL'!D54</f>
        <v>A faire</v>
      </c>
      <c r="O65" s="6" t="str">
        <f>'WEDOF - EXAMEN FINAL'!E54</f>
        <v>A faire</v>
      </c>
      <c r="P65" s="6" t="str">
        <f>'WEDOF - EXAMEN FINAL'!H54</f>
        <v/>
      </c>
      <c r="Q65" s="6" t="str">
        <f>'WEDOF - EXAMEN FINAL'!F54</f>
        <v>A faire</v>
      </c>
      <c r="R65" s="11"/>
      <c r="S65" s="6">
        <f>'PAIEMENTS &amp; COMMISSIONS'!I54</f>
        <v>1500</v>
      </c>
      <c r="T65" s="6" t="b">
        <f t="shared" si="2"/>
        <v>1</v>
      </c>
      <c r="U65" s="6" t="b">
        <f t="shared" si="3"/>
        <v>0</v>
      </c>
      <c r="V65" s="11" t="b">
        <f t="shared" ref="V65:W65" si="55">FALSE()</f>
        <v>0</v>
      </c>
      <c r="W65" s="11" t="b">
        <f t="shared" si="55"/>
        <v>0</v>
      </c>
      <c r="X65" s="10" t="str">
        <f>APPRENANTS!Y54</f>
        <v>Oui</v>
      </c>
    </row>
    <row r="66" ht="15.0" customHeight="1">
      <c r="A66" s="6" t="str">
        <f>APPRENANTS!B55</f>
        <v>MELIKSETIAN Suren</v>
      </c>
      <c r="B66" s="6" t="str">
        <f>APPRENANTS!A55</f>
        <v>Proforma Institut</v>
      </c>
      <c r="C66" s="6" t="str">
        <f>APPRENANTS!C55</f>
        <v>Sabri</v>
      </c>
      <c r="D66" s="6" t="str">
        <f>APPRENANTS!G55</f>
        <v>Accepté</v>
      </c>
      <c r="E66" s="6" t="str">
        <f>APPRENANTS!D55</f>
        <v>Développer son activité avec l’intelligence artificielle</v>
      </c>
      <c r="F66" s="6" t="str">
        <f>APPRENANTS!E55</f>
        <v>2026-07-06</v>
      </c>
      <c r="G66" s="6" t="str">
        <f>APPRENANTS!F55</f>
        <v>2026-07-11</v>
      </c>
      <c r="H66" s="6" t="str">
        <f>APPRENANTS!H55</f>
        <v/>
      </c>
      <c r="I66" s="6" t="str">
        <f>APPRENANTS!I55</f>
        <v/>
      </c>
      <c r="J66" s="6" t="str">
        <f>APPRENANTS!J55</f>
        <v/>
      </c>
      <c r="K66" s="6" t="str">
        <f>APPRENANTS!K55</f>
        <v/>
      </c>
      <c r="L66" s="11"/>
      <c r="M66" s="11"/>
      <c r="N66" s="6" t="str">
        <f>'WEDOF - EXAMEN FINAL'!D55</f>
        <v>A faire</v>
      </c>
      <c r="O66" s="6" t="str">
        <f>'WEDOF - EXAMEN FINAL'!E55</f>
        <v>A faire</v>
      </c>
      <c r="P66" s="6" t="str">
        <f>'WEDOF - EXAMEN FINAL'!H55</f>
        <v/>
      </c>
      <c r="Q66" s="6" t="str">
        <f>'WEDOF - EXAMEN FINAL'!F55</f>
        <v>A faire</v>
      </c>
      <c r="R66" s="11"/>
      <c r="S66" s="6">
        <f>'PAIEMENTS &amp; COMMISSIONS'!I55</f>
        <v>1500</v>
      </c>
      <c r="T66" s="6" t="b">
        <f t="shared" si="2"/>
        <v>1</v>
      </c>
      <c r="U66" s="6" t="b">
        <f t="shared" si="3"/>
        <v>0</v>
      </c>
      <c r="V66" s="11" t="b">
        <f t="shared" ref="V66:W66" si="56">FALSE()</f>
        <v>0</v>
      </c>
      <c r="W66" s="11" t="b">
        <f t="shared" si="56"/>
        <v>0</v>
      </c>
      <c r="X66" s="10" t="str">
        <f>APPRENANTS!Y55</f>
        <v>Oui</v>
      </c>
    </row>
    <row r="67" ht="15.0" customHeight="1">
      <c r="A67" s="6" t="str">
        <f>APPRENANTS!B56</f>
        <v>ATAYAN Julieta</v>
      </c>
      <c r="B67" s="6" t="str">
        <f>APPRENANTS!A56</f>
        <v>Proforma Institut</v>
      </c>
      <c r="C67" s="6" t="str">
        <f>APPRENANTS!C56</f>
        <v>Sabri</v>
      </c>
      <c r="D67" s="6" t="str">
        <f>APPRENANTS!G56</f>
        <v>Accepté</v>
      </c>
      <c r="E67" s="6" t="str">
        <f>APPRENANTS!D56</f>
        <v>Développer son activité avec l’intelligence artificielle</v>
      </c>
      <c r="F67" s="6" t="str">
        <f>APPRENANTS!E56</f>
        <v>2026-07-06</v>
      </c>
      <c r="G67" s="6" t="str">
        <f>APPRENANTS!F56</f>
        <v>2026-07-11</v>
      </c>
      <c r="H67" s="6" t="str">
        <f>APPRENANTS!H56</f>
        <v/>
      </c>
      <c r="I67" s="6" t="str">
        <f>APPRENANTS!I56</f>
        <v/>
      </c>
      <c r="J67" s="6" t="str">
        <f>APPRENANTS!J56</f>
        <v/>
      </c>
      <c r="K67" s="6" t="str">
        <f>APPRENANTS!K56</f>
        <v/>
      </c>
      <c r="L67" s="11"/>
      <c r="M67" s="11"/>
      <c r="N67" s="6" t="str">
        <f>'WEDOF - EXAMEN FINAL'!D56</f>
        <v>A faire</v>
      </c>
      <c r="O67" s="6" t="str">
        <f>'WEDOF - EXAMEN FINAL'!E56</f>
        <v>A faire</v>
      </c>
      <c r="P67" s="6" t="str">
        <f>'WEDOF - EXAMEN FINAL'!H56</f>
        <v/>
      </c>
      <c r="Q67" s="6" t="str">
        <f>'WEDOF - EXAMEN FINAL'!F56</f>
        <v>A faire</v>
      </c>
      <c r="R67" s="11"/>
      <c r="S67" s="6">
        <f>'PAIEMENTS &amp; COMMISSIONS'!I56</f>
        <v>1500</v>
      </c>
      <c r="T67" s="6" t="b">
        <f t="shared" si="2"/>
        <v>1</v>
      </c>
      <c r="U67" s="6" t="b">
        <f t="shared" si="3"/>
        <v>0</v>
      </c>
      <c r="V67" s="11" t="b">
        <f t="shared" ref="V67:W67" si="57">FALSE()</f>
        <v>0</v>
      </c>
      <c r="W67" s="11" t="b">
        <f t="shared" si="57"/>
        <v>0</v>
      </c>
      <c r="X67" s="10" t="str">
        <f>APPRENANTS!Y56</f>
        <v>Oui</v>
      </c>
    </row>
    <row r="68" ht="15.0" customHeight="1">
      <c r="A68" s="6" t="str">
        <f>APPRENANTS!B57</f>
        <v>VARDANYAN Anait</v>
      </c>
      <c r="B68" s="6" t="str">
        <f>APPRENANTS!A57</f>
        <v>Proforma Institut</v>
      </c>
      <c r="C68" s="6" t="str">
        <f>APPRENANTS!C57</f>
        <v>Sabri</v>
      </c>
      <c r="D68" s="6" t="str">
        <f>APPRENANTS!G57</f>
        <v>Accepté</v>
      </c>
      <c r="E68" s="6" t="str">
        <f>APPRENANTS!D57</f>
        <v>Développer son activité avec l’intelligence artificielle</v>
      </c>
      <c r="F68" s="6" t="str">
        <f>APPRENANTS!E57</f>
        <v>2026-07-06</v>
      </c>
      <c r="G68" s="6" t="str">
        <f>APPRENANTS!F57</f>
        <v>2026-07-11</v>
      </c>
      <c r="H68" s="6" t="str">
        <f>APPRENANTS!H57</f>
        <v/>
      </c>
      <c r="I68" s="6" t="str">
        <f>APPRENANTS!I57</f>
        <v/>
      </c>
      <c r="J68" s="6" t="str">
        <f>APPRENANTS!J57</f>
        <v/>
      </c>
      <c r="K68" s="6" t="str">
        <f>APPRENANTS!K57</f>
        <v/>
      </c>
      <c r="L68" s="11"/>
      <c r="M68" s="11"/>
      <c r="N68" s="6" t="str">
        <f>'WEDOF - EXAMEN FINAL'!D57</f>
        <v>A faire</v>
      </c>
      <c r="O68" s="6" t="str">
        <f>'WEDOF - EXAMEN FINAL'!E57</f>
        <v>A faire</v>
      </c>
      <c r="P68" s="6" t="str">
        <f>'WEDOF - EXAMEN FINAL'!H57</f>
        <v/>
      </c>
      <c r="Q68" s="6" t="str">
        <f>'WEDOF - EXAMEN FINAL'!F57</f>
        <v>A faire</v>
      </c>
      <c r="R68" s="11"/>
      <c r="S68" s="6">
        <f>'PAIEMENTS &amp; COMMISSIONS'!I57</f>
        <v>1500</v>
      </c>
      <c r="T68" s="6" t="b">
        <f t="shared" si="2"/>
        <v>1</v>
      </c>
      <c r="U68" s="6" t="b">
        <f t="shared" si="3"/>
        <v>0</v>
      </c>
      <c r="V68" s="11" t="b">
        <f t="shared" ref="V68:W68" si="58">FALSE()</f>
        <v>0</v>
      </c>
      <c r="W68" s="11" t="b">
        <f t="shared" si="58"/>
        <v>0</v>
      </c>
      <c r="X68" s="10" t="str">
        <f>APPRENANTS!Y57</f>
        <v>Oui</v>
      </c>
    </row>
    <row r="69" ht="15.0" customHeight="1">
      <c r="A69" s="6" t="str">
        <f>APPRENANTS!B58</f>
        <v>EL BOUGHABI Adil</v>
      </c>
      <c r="B69" s="6" t="str">
        <f>APPRENANTS!A58</f>
        <v>Proforma Institut</v>
      </c>
      <c r="C69" s="6" t="str">
        <f>APPRENANTS!C58</f>
        <v>MOH</v>
      </c>
      <c r="D69" s="6" t="str">
        <f>APPRENANTS!G58</f>
        <v>Accepté</v>
      </c>
      <c r="E69" s="6" t="str">
        <f>APPRENANTS!D58</f>
        <v>Améliorer l'efficacité de sa TPE à l'aide de l'IA</v>
      </c>
      <c r="F69" s="6" t="str">
        <f>APPRENANTS!E58</f>
        <v>2026-07-13</v>
      </c>
      <c r="G69" s="6" t="str">
        <f>APPRENANTS!F58</f>
        <v>2026-07-18</v>
      </c>
      <c r="H69" s="6" t="str">
        <f>APPRENANTS!H58</f>
        <v/>
      </c>
      <c r="I69" s="6" t="str">
        <f>APPRENANTS!I58</f>
        <v/>
      </c>
      <c r="J69" s="6" t="str">
        <f>APPRENANTS!J58</f>
        <v/>
      </c>
      <c r="K69" s="6" t="str">
        <f>APPRENANTS!K58</f>
        <v/>
      </c>
      <c r="L69" s="11"/>
      <c r="M69" s="11"/>
      <c r="N69" s="6" t="str">
        <f>'WEDOF - EXAMEN FINAL'!D58</f>
        <v>A faire</v>
      </c>
      <c r="O69" s="6" t="str">
        <f>'WEDOF - EXAMEN FINAL'!E58</f>
        <v>A faire</v>
      </c>
      <c r="P69" s="6" t="str">
        <f>'WEDOF - EXAMEN FINAL'!H58</f>
        <v/>
      </c>
      <c r="Q69" s="6" t="str">
        <f>'WEDOF - EXAMEN FINAL'!F58</f>
        <v>A faire</v>
      </c>
      <c r="R69" s="11"/>
      <c r="S69" s="6">
        <f>'PAIEMENTS &amp; COMMISSIONS'!I58</f>
        <v>1500</v>
      </c>
      <c r="T69" s="6" t="b">
        <f t="shared" si="2"/>
        <v>1</v>
      </c>
      <c r="U69" s="6" t="b">
        <f t="shared" si="3"/>
        <v>0</v>
      </c>
      <c r="V69" s="11" t="b">
        <f t="shared" ref="V69:W69" si="59">FALSE()</f>
        <v>0</v>
      </c>
      <c r="W69" s="11" t="b">
        <f t="shared" si="59"/>
        <v>0</v>
      </c>
      <c r="X69" s="10" t="str">
        <f>APPRENANTS!Y58</f>
        <v>Oui</v>
      </c>
    </row>
    <row r="70" ht="15.0" customHeight="1">
      <c r="A70" s="6" t="str">
        <f>APPRENANTS!B59</f>
        <v>EL BOUGHABI Adil</v>
      </c>
      <c r="B70" s="6" t="str">
        <f>APPRENANTS!A59</f>
        <v>Proforma Institut</v>
      </c>
      <c r="C70" s="6" t="str">
        <f>APPRENANTS!C59</f>
        <v>MOH</v>
      </c>
      <c r="D70" s="6" t="str">
        <f>APPRENANTS!G59</f>
        <v>Accepté</v>
      </c>
      <c r="E70" s="6" t="str">
        <f>APPRENANTS!D59</f>
        <v>Communiquer sur les réseaux sociaux pour promouvoir sa TPE</v>
      </c>
      <c r="F70" s="6" t="str">
        <f>APPRENANTS!E59</f>
        <v>2026-07-20</v>
      </c>
      <c r="G70" s="6" t="str">
        <f>APPRENANTS!F59</f>
        <v>2026-07-25</v>
      </c>
      <c r="H70" s="6" t="str">
        <f>APPRENANTS!H59</f>
        <v/>
      </c>
      <c r="I70" s="6" t="str">
        <f>APPRENANTS!I59</f>
        <v/>
      </c>
      <c r="J70" s="6" t="str">
        <f>APPRENANTS!J59</f>
        <v/>
      </c>
      <c r="K70" s="6" t="str">
        <f>APPRENANTS!K59</f>
        <v/>
      </c>
      <c r="L70" s="11"/>
      <c r="M70" s="11"/>
      <c r="N70" s="6" t="str">
        <f>'WEDOF - EXAMEN FINAL'!D59</f>
        <v>A faire</v>
      </c>
      <c r="O70" s="6" t="str">
        <f>'WEDOF - EXAMEN FINAL'!E59</f>
        <v>A faire</v>
      </c>
      <c r="P70" s="6" t="str">
        <f>'WEDOF - EXAMEN FINAL'!H59</f>
        <v/>
      </c>
      <c r="Q70" s="6" t="str">
        <f>'WEDOF - EXAMEN FINAL'!F59</f>
        <v>A faire</v>
      </c>
      <c r="R70" s="11"/>
      <c r="S70" s="6">
        <f>'PAIEMENTS &amp; COMMISSIONS'!I59</f>
        <v>1500</v>
      </c>
      <c r="T70" s="6" t="b">
        <f t="shared" si="2"/>
        <v>1</v>
      </c>
      <c r="U70" s="6" t="b">
        <f t="shared" si="3"/>
        <v>0</v>
      </c>
      <c r="V70" s="11" t="b">
        <f t="shared" ref="V70:W70" si="60">FALSE()</f>
        <v>0</v>
      </c>
      <c r="W70" s="11" t="b">
        <f t="shared" si="60"/>
        <v>0</v>
      </c>
      <c r="X70" s="10" t="str">
        <f>APPRENANTS!Y59</f>
        <v>Oui</v>
      </c>
    </row>
    <row r="71" ht="15.0" customHeight="1">
      <c r="A71" s="6" t="str">
        <f>APPRENANTS!B60</f>
        <v>ALARCON Lucas</v>
      </c>
      <c r="B71" s="6" t="str">
        <f>APPRENANTS!A60</f>
        <v>Proforma Institut</v>
      </c>
      <c r="C71" s="6" t="str">
        <f>APPRENANTS!C60</f>
        <v>MOH</v>
      </c>
      <c r="D71" s="6" t="str">
        <f>APPRENANTS!G60</f>
        <v>Accepté</v>
      </c>
      <c r="E71" s="6" t="str">
        <f>APPRENANTS!D60</f>
        <v>Améliorer l'efficacité de sa TPE à l'aide de l'IA</v>
      </c>
      <c r="F71" s="6" t="str">
        <f>APPRENANTS!E60</f>
        <v>2026-07-13</v>
      </c>
      <c r="G71" s="6" t="str">
        <f>APPRENANTS!F60</f>
        <v>2026-07-18</v>
      </c>
      <c r="H71" s="6" t="str">
        <f>APPRENANTS!H60</f>
        <v/>
      </c>
      <c r="I71" s="6" t="str">
        <f>APPRENANTS!I60</f>
        <v/>
      </c>
      <c r="J71" s="6" t="str">
        <f>APPRENANTS!J60</f>
        <v/>
      </c>
      <c r="K71" s="6" t="str">
        <f>APPRENANTS!K60</f>
        <v/>
      </c>
      <c r="L71" s="11"/>
      <c r="M71" s="11"/>
      <c r="N71" s="6" t="str">
        <f>'WEDOF - EXAMEN FINAL'!D60</f>
        <v>A faire</v>
      </c>
      <c r="O71" s="6" t="str">
        <f>'WEDOF - EXAMEN FINAL'!E60</f>
        <v>A faire</v>
      </c>
      <c r="P71" s="6" t="str">
        <f>'WEDOF - EXAMEN FINAL'!H60</f>
        <v/>
      </c>
      <c r="Q71" s="6" t="str">
        <f>'WEDOF - EXAMEN FINAL'!F60</f>
        <v>A faire</v>
      </c>
      <c r="R71" s="11"/>
      <c r="S71" s="6">
        <f>'PAIEMENTS &amp; COMMISSIONS'!I60</f>
        <v>1500</v>
      </c>
      <c r="T71" s="6" t="b">
        <f t="shared" si="2"/>
        <v>1</v>
      </c>
      <c r="U71" s="6" t="b">
        <f t="shared" si="3"/>
        <v>0</v>
      </c>
      <c r="V71" s="11" t="b">
        <f t="shared" ref="V71:W71" si="61">FALSE()</f>
        <v>0</v>
      </c>
      <c r="W71" s="11" t="b">
        <f t="shared" si="61"/>
        <v>0</v>
      </c>
      <c r="X71" s="10" t="str">
        <f>APPRENANTS!Y60</f>
        <v>Oui</v>
      </c>
    </row>
    <row r="72" ht="15.0" customHeight="1">
      <c r="A72" s="6" t="str">
        <f>APPRENANTS!B61</f>
        <v>ALARCON Lucas</v>
      </c>
      <c r="B72" s="6" t="str">
        <f>APPRENANTS!A61</f>
        <v>Proforma Institut</v>
      </c>
      <c r="C72" s="6" t="str">
        <f>APPRENANTS!C61</f>
        <v>MOH</v>
      </c>
      <c r="D72" s="6" t="str">
        <f>APPRENANTS!G61</f>
        <v>Accepté</v>
      </c>
      <c r="E72" s="6" t="str">
        <f>APPRENANTS!D61</f>
        <v>Communiquer sur les réseaux sociaux pour promouvoir sa TPE</v>
      </c>
      <c r="F72" s="6" t="str">
        <f>APPRENANTS!E61</f>
        <v>2026-07-20</v>
      </c>
      <c r="G72" s="6" t="str">
        <f>APPRENANTS!F61</f>
        <v>2026-07-25</v>
      </c>
      <c r="H72" s="6" t="str">
        <f>APPRENANTS!H61</f>
        <v/>
      </c>
      <c r="I72" s="6" t="str">
        <f>APPRENANTS!I61</f>
        <v/>
      </c>
      <c r="J72" s="6" t="str">
        <f>APPRENANTS!J61</f>
        <v/>
      </c>
      <c r="K72" s="6" t="str">
        <f>APPRENANTS!K61</f>
        <v/>
      </c>
      <c r="L72" s="11"/>
      <c r="M72" s="11"/>
      <c r="N72" s="6" t="str">
        <f>'WEDOF - EXAMEN FINAL'!D61</f>
        <v>A faire</v>
      </c>
      <c r="O72" s="6" t="str">
        <f>'WEDOF - EXAMEN FINAL'!E61</f>
        <v>A faire</v>
      </c>
      <c r="P72" s="6" t="str">
        <f>'WEDOF - EXAMEN FINAL'!H61</f>
        <v/>
      </c>
      <c r="Q72" s="6" t="str">
        <f>'WEDOF - EXAMEN FINAL'!F61</f>
        <v>A faire</v>
      </c>
      <c r="R72" s="11"/>
      <c r="S72" s="6">
        <f>'PAIEMENTS &amp; COMMISSIONS'!I61</f>
        <v>1500</v>
      </c>
      <c r="T72" s="6" t="b">
        <f t="shared" si="2"/>
        <v>1</v>
      </c>
      <c r="U72" s="6" t="b">
        <f t="shared" si="3"/>
        <v>0</v>
      </c>
      <c r="V72" s="11" t="b">
        <f t="shared" ref="V72:W72" si="62">FALSE()</f>
        <v>0</v>
      </c>
      <c r="W72" s="11" t="b">
        <f t="shared" si="62"/>
        <v>0</v>
      </c>
      <c r="X72" s="10" t="str">
        <f>APPRENANTS!Y61</f>
        <v>Oui</v>
      </c>
    </row>
    <row r="73" ht="15.0" customHeight="1">
      <c r="A73" s="6" t="str">
        <f>APPRENANTS!B62</f>
        <v>ARGOUBI Karim</v>
      </c>
      <c r="B73" s="6" t="str">
        <f>APPRENANTS!A62</f>
        <v>Proforma Institut</v>
      </c>
      <c r="C73" s="6" t="str">
        <f>APPRENANTS!C62</f>
        <v>Djody</v>
      </c>
      <c r="D73" s="6" t="str">
        <f>APPRENANTS!G62</f>
        <v>Accepté</v>
      </c>
      <c r="E73" s="6" t="str">
        <f>APPRENANTS!D62</f>
        <v>Améliorer l'efficacité de sa TPE à l'aide de l'IA</v>
      </c>
      <c r="F73" s="6" t="str">
        <f>APPRENANTS!E62</f>
        <v>2026-07-13</v>
      </c>
      <c r="G73" s="6" t="str">
        <f>APPRENANTS!F62</f>
        <v>2026-07-18</v>
      </c>
      <c r="H73" s="6" t="str">
        <f>APPRENANTS!H62</f>
        <v/>
      </c>
      <c r="I73" s="6" t="str">
        <f>APPRENANTS!I62</f>
        <v/>
      </c>
      <c r="J73" s="6" t="str">
        <f>APPRENANTS!J62</f>
        <v/>
      </c>
      <c r="K73" s="6" t="str">
        <f>APPRENANTS!K62</f>
        <v/>
      </c>
      <c r="L73" s="11"/>
      <c r="M73" s="11"/>
      <c r="N73" s="6" t="str">
        <f>'WEDOF - EXAMEN FINAL'!D62</f>
        <v>A faire</v>
      </c>
      <c r="O73" s="6" t="str">
        <f>'WEDOF - EXAMEN FINAL'!E62</f>
        <v>A faire</v>
      </c>
      <c r="P73" s="6" t="str">
        <f>'WEDOF - EXAMEN FINAL'!H62</f>
        <v/>
      </c>
      <c r="Q73" s="6" t="str">
        <f>'WEDOF - EXAMEN FINAL'!F62</f>
        <v>A faire</v>
      </c>
      <c r="R73" s="11"/>
      <c r="S73" s="6">
        <f>'PAIEMENTS &amp; COMMISSIONS'!I62</f>
        <v>1500</v>
      </c>
      <c r="T73" s="6" t="b">
        <f t="shared" si="2"/>
        <v>1</v>
      </c>
      <c r="U73" s="6" t="b">
        <f t="shared" si="3"/>
        <v>0</v>
      </c>
      <c r="V73" s="11" t="b">
        <f t="shared" ref="V73:W73" si="63">FALSE()</f>
        <v>0</v>
      </c>
      <c r="W73" s="11" t="b">
        <f t="shared" si="63"/>
        <v>0</v>
      </c>
      <c r="X73" s="10" t="str">
        <f>APPRENANTS!Y62</f>
        <v>Oui</v>
      </c>
    </row>
    <row r="74" ht="15.0" customHeight="1">
      <c r="A74" s="6" t="str">
        <f>APPRENANTS!B63</f>
        <v>ARGOUBI Karim</v>
      </c>
      <c r="B74" s="6" t="str">
        <f>APPRENANTS!A63</f>
        <v>Proforma Institut</v>
      </c>
      <c r="C74" s="6" t="str">
        <f>APPRENANTS!C63</f>
        <v>Djody</v>
      </c>
      <c r="D74" s="6" t="str">
        <f>APPRENANTS!G63</f>
        <v>Accepté</v>
      </c>
      <c r="E74" s="6" t="str">
        <f>APPRENANTS!D63</f>
        <v>Communiquer sur les réseaux sociaux pour promouvoir sa TPE</v>
      </c>
      <c r="F74" s="6" t="str">
        <f>APPRENANTS!E63</f>
        <v>2026-07-20</v>
      </c>
      <c r="G74" s="6" t="str">
        <f>APPRENANTS!F63</f>
        <v>2026-07-25</v>
      </c>
      <c r="H74" s="6" t="str">
        <f>APPRENANTS!H63</f>
        <v/>
      </c>
      <c r="I74" s="6" t="str">
        <f>APPRENANTS!I63</f>
        <v/>
      </c>
      <c r="J74" s="6" t="str">
        <f>APPRENANTS!J63</f>
        <v/>
      </c>
      <c r="K74" s="6" t="str">
        <f>APPRENANTS!K63</f>
        <v/>
      </c>
      <c r="L74" s="11"/>
      <c r="M74" s="11"/>
      <c r="N74" s="6" t="str">
        <f>'WEDOF - EXAMEN FINAL'!D63</f>
        <v>A faire</v>
      </c>
      <c r="O74" s="6" t="str">
        <f>'WEDOF - EXAMEN FINAL'!E63</f>
        <v>A faire</v>
      </c>
      <c r="P74" s="6" t="str">
        <f>'WEDOF - EXAMEN FINAL'!H63</f>
        <v/>
      </c>
      <c r="Q74" s="6" t="str">
        <f>'WEDOF - EXAMEN FINAL'!F63</f>
        <v>A faire</v>
      </c>
      <c r="R74" s="11"/>
      <c r="S74" s="6">
        <f>'PAIEMENTS &amp; COMMISSIONS'!I63</f>
        <v>1500</v>
      </c>
      <c r="T74" s="6" t="b">
        <f t="shared" si="2"/>
        <v>1</v>
      </c>
      <c r="U74" s="6" t="b">
        <f t="shared" si="3"/>
        <v>0</v>
      </c>
      <c r="V74" s="11" t="b">
        <f t="shared" ref="V74:W74" si="64">FALSE()</f>
        <v>0</v>
      </c>
      <c r="W74" s="11" t="b">
        <f t="shared" si="64"/>
        <v>0</v>
      </c>
      <c r="X74" s="10" t="str">
        <f>APPRENANTS!Y63</f>
        <v>Oui</v>
      </c>
    </row>
    <row r="75" ht="15.0" customHeight="1">
      <c r="A75" s="6" t="str">
        <f>APPRENANTS!B64</f>
        <v>ARGOUBI Karim</v>
      </c>
      <c r="B75" s="6" t="str">
        <f>APPRENANTS!A64</f>
        <v>Proforma Institut</v>
      </c>
      <c r="C75" s="6" t="str">
        <f>APPRENANTS!C64</f>
        <v>Djody</v>
      </c>
      <c r="D75" s="6" t="str">
        <f>APPRENANTS!G64</f>
        <v>Accepté</v>
      </c>
      <c r="E75" s="6" t="str">
        <f>APPRENANTS!D64</f>
        <v>Réaliser les opérations comptables courantes d'une TPE</v>
      </c>
      <c r="F75" s="6" t="str">
        <f>APPRENANTS!E64</f>
        <v>2026-07-27</v>
      </c>
      <c r="G75" s="6" t="str">
        <f>APPRENANTS!F64</f>
        <v>2026-08-01</v>
      </c>
      <c r="H75" s="6" t="str">
        <f>APPRENANTS!H64</f>
        <v/>
      </c>
      <c r="I75" s="6" t="str">
        <f>APPRENANTS!I64</f>
        <v/>
      </c>
      <c r="J75" s="6" t="str">
        <f>APPRENANTS!J64</f>
        <v/>
      </c>
      <c r="K75" s="6" t="str">
        <f>APPRENANTS!K64</f>
        <v/>
      </c>
      <c r="L75" s="11"/>
      <c r="M75" s="11"/>
      <c r="N75" s="6" t="str">
        <f>'WEDOF - EXAMEN FINAL'!D64</f>
        <v>A faire</v>
      </c>
      <c r="O75" s="6" t="str">
        <f>'WEDOF - EXAMEN FINAL'!E64</f>
        <v>A faire</v>
      </c>
      <c r="P75" s="6" t="str">
        <f>'WEDOF - EXAMEN FINAL'!H64</f>
        <v/>
      </c>
      <c r="Q75" s="6" t="str">
        <f>'WEDOF - EXAMEN FINAL'!F64</f>
        <v>A faire</v>
      </c>
      <c r="R75" s="11"/>
      <c r="S75" s="6">
        <f>'PAIEMENTS &amp; COMMISSIONS'!I64</f>
        <v>1500</v>
      </c>
      <c r="T75" s="6" t="b">
        <f t="shared" si="2"/>
        <v>1</v>
      </c>
      <c r="U75" s="6" t="b">
        <f t="shared" si="3"/>
        <v>0</v>
      </c>
      <c r="V75" s="11" t="b">
        <f t="shared" ref="V75:W75" si="65">FALSE()</f>
        <v>0</v>
      </c>
      <c r="W75" s="11" t="b">
        <f t="shared" si="65"/>
        <v>0</v>
      </c>
      <c r="X75" s="10" t="str">
        <f>APPRENANTS!Y64</f>
        <v>Oui</v>
      </c>
    </row>
    <row r="76" ht="15.0" customHeight="1">
      <c r="A76" s="6" t="str">
        <f>APPRENANTS!B65</f>
        <v>DERKAOUI Sandra</v>
      </c>
      <c r="B76" s="6" t="str">
        <f>APPRENANTS!A65</f>
        <v>Proforma Institut</v>
      </c>
      <c r="C76" s="6" t="str">
        <f>APPRENANTS!C65</f>
        <v>MOH</v>
      </c>
      <c r="D76" s="6" t="str">
        <f>APPRENANTS!G65</f>
        <v>en attente</v>
      </c>
      <c r="E76" s="6" t="str">
        <f>APPRENANTS!D65</f>
        <v>Améliorer l'efficacité de sa TPE à l'aide de l'IA</v>
      </c>
      <c r="F76" s="6" t="str">
        <f>APPRENANTS!E65</f>
        <v>2026-07-27</v>
      </c>
      <c r="G76" s="6" t="str">
        <f>APPRENANTS!F65</f>
        <v>2026-08-01</v>
      </c>
      <c r="H76" s="6" t="str">
        <f>APPRENANTS!H65</f>
        <v/>
      </c>
      <c r="I76" s="6" t="str">
        <f>APPRENANTS!I65</f>
        <v/>
      </c>
      <c r="J76" s="6" t="str">
        <f>APPRENANTS!J65</f>
        <v/>
      </c>
      <c r="K76" s="6" t="str">
        <f>APPRENANTS!K65</f>
        <v/>
      </c>
      <c r="L76" s="11"/>
      <c r="M76" s="11"/>
      <c r="N76" s="6" t="str">
        <f>'WEDOF - EXAMEN FINAL'!D65</f>
        <v>A faire</v>
      </c>
      <c r="O76" s="6" t="str">
        <f>'WEDOF - EXAMEN FINAL'!E65</f>
        <v>A faire</v>
      </c>
      <c r="P76" s="6" t="str">
        <f>'WEDOF - EXAMEN FINAL'!H65</f>
        <v/>
      </c>
      <c r="Q76" s="6" t="str">
        <f>'WEDOF - EXAMEN FINAL'!F65</f>
        <v>A faire</v>
      </c>
      <c r="R76" s="11"/>
      <c r="S76" s="6">
        <f>'PAIEMENTS &amp; COMMISSIONS'!I65</f>
        <v>1500</v>
      </c>
      <c r="T76" s="6" t="b">
        <f t="shared" si="2"/>
        <v>1</v>
      </c>
      <c r="U76" s="6" t="b">
        <f t="shared" si="3"/>
        <v>0</v>
      </c>
      <c r="V76" s="11" t="b">
        <f t="shared" ref="V76:W76" si="66">FALSE()</f>
        <v>0</v>
      </c>
      <c r="W76" s="11" t="b">
        <f t="shared" si="66"/>
        <v>0</v>
      </c>
      <c r="X76" s="10" t="str">
        <f>APPRENANTS!Y65</f>
        <v>Oui</v>
      </c>
    </row>
    <row r="77" ht="15.0" customHeight="1">
      <c r="A77" s="6" t="str">
        <f>APPRENANTS!B66</f>
        <v>DERKAOUI Sandra</v>
      </c>
      <c r="B77" s="6" t="str">
        <f>APPRENANTS!A66</f>
        <v>Proforma Institut</v>
      </c>
      <c r="C77" s="6" t="str">
        <f>APPRENANTS!C66</f>
        <v>MOH</v>
      </c>
      <c r="D77" s="6" t="str">
        <f>APPRENANTS!G66</f>
        <v>en attente</v>
      </c>
      <c r="E77" s="6" t="str">
        <f>APPRENANTS!D66</f>
        <v>Communiquer sur les réseaux sociaux pour promouvoir sa TPE</v>
      </c>
      <c r="F77" s="6" t="str">
        <f>APPRENANTS!E66</f>
        <v>2026-08-03</v>
      </c>
      <c r="G77" s="6" t="str">
        <f>APPRENANTS!F66</f>
        <v>2026-08-08</v>
      </c>
      <c r="H77" s="6" t="str">
        <f>APPRENANTS!H66</f>
        <v/>
      </c>
      <c r="I77" s="6" t="str">
        <f>APPRENANTS!I66</f>
        <v/>
      </c>
      <c r="J77" s="6" t="str">
        <f>APPRENANTS!J66</f>
        <v/>
      </c>
      <c r="K77" s="6" t="str">
        <f>APPRENANTS!K66</f>
        <v/>
      </c>
      <c r="L77" s="11"/>
      <c r="M77" s="11"/>
      <c r="N77" s="6" t="str">
        <f>'WEDOF - EXAMEN FINAL'!D66</f>
        <v>A faire</v>
      </c>
      <c r="O77" s="6" t="str">
        <f>'WEDOF - EXAMEN FINAL'!E66</f>
        <v>A faire</v>
      </c>
      <c r="P77" s="6" t="str">
        <f>'WEDOF - EXAMEN FINAL'!H66</f>
        <v/>
      </c>
      <c r="Q77" s="6" t="str">
        <f>'WEDOF - EXAMEN FINAL'!F66</f>
        <v>A faire</v>
      </c>
      <c r="R77" s="11"/>
      <c r="S77" s="6">
        <f>'PAIEMENTS &amp; COMMISSIONS'!I66</f>
        <v>1500</v>
      </c>
      <c r="T77" s="6" t="b">
        <f t="shared" si="2"/>
        <v>1</v>
      </c>
      <c r="U77" s="6" t="b">
        <f t="shared" si="3"/>
        <v>0</v>
      </c>
      <c r="V77" s="11" t="b">
        <f t="shared" ref="V77:W77" si="67">FALSE()</f>
        <v>0</v>
      </c>
      <c r="W77" s="11" t="b">
        <f t="shared" si="67"/>
        <v>0</v>
      </c>
      <c r="X77" s="10" t="str">
        <f>APPRENANTS!Y66</f>
        <v>Oui</v>
      </c>
    </row>
    <row r="78" ht="15.0" customHeight="1">
      <c r="A78" s="6" t="str">
        <f>APPRENANTS!B67</f>
        <v>MASELE MUKONGA Ann</v>
      </c>
      <c r="B78" s="6" t="str">
        <f>APPRENANTS!A67</f>
        <v>Proforma Institut</v>
      </c>
      <c r="C78" s="6" t="str">
        <f>APPRENANTS!C67</f>
        <v>MOH</v>
      </c>
      <c r="D78" s="6" t="str">
        <f>APPRENANTS!G67</f>
        <v>Accepté</v>
      </c>
      <c r="E78" s="6" t="str">
        <f>APPRENANTS!D67</f>
        <v>Améliorer l'efficacité de sa TPE à l'aide de l'IA</v>
      </c>
      <c r="F78" s="6" t="str">
        <f>APPRENANTS!E67</f>
        <v>2026-07-27</v>
      </c>
      <c r="G78" s="6" t="str">
        <f>APPRENANTS!F67</f>
        <v>2026-08-01</v>
      </c>
      <c r="H78" s="6" t="str">
        <f>APPRENANTS!H67</f>
        <v/>
      </c>
      <c r="I78" s="6" t="str">
        <f>APPRENANTS!I67</f>
        <v/>
      </c>
      <c r="J78" s="6" t="str">
        <f>APPRENANTS!J67</f>
        <v/>
      </c>
      <c r="K78" s="6" t="str">
        <f>APPRENANTS!K67</f>
        <v/>
      </c>
      <c r="L78" s="11"/>
      <c r="M78" s="11"/>
      <c r="N78" s="6" t="str">
        <f>'WEDOF - EXAMEN FINAL'!D67</f>
        <v>A faire</v>
      </c>
      <c r="O78" s="6" t="str">
        <f>'WEDOF - EXAMEN FINAL'!E67</f>
        <v>A faire</v>
      </c>
      <c r="P78" s="6" t="str">
        <f>'WEDOF - EXAMEN FINAL'!H67</f>
        <v/>
      </c>
      <c r="Q78" s="6" t="str">
        <f>'WEDOF - EXAMEN FINAL'!F67</f>
        <v>A faire</v>
      </c>
      <c r="R78" s="11"/>
      <c r="S78" s="6">
        <f>'PAIEMENTS &amp; COMMISSIONS'!I67</f>
        <v>1500</v>
      </c>
      <c r="T78" s="6" t="b">
        <f t="shared" si="2"/>
        <v>1</v>
      </c>
      <c r="U78" s="6" t="b">
        <f t="shared" si="3"/>
        <v>0</v>
      </c>
      <c r="V78" s="11" t="b">
        <f t="shared" ref="V78:W78" si="68">FALSE()</f>
        <v>0</v>
      </c>
      <c r="W78" s="11" t="b">
        <f t="shared" si="68"/>
        <v>0</v>
      </c>
      <c r="X78" s="10" t="str">
        <f>APPRENANTS!Y67</f>
        <v>Oui</v>
      </c>
    </row>
    <row r="79" ht="15.0" customHeight="1">
      <c r="A79" s="6" t="str">
        <f>APPRENANTS!B68</f>
        <v>MASELE MUKONGA Ann</v>
      </c>
      <c r="B79" s="6" t="str">
        <f>APPRENANTS!A68</f>
        <v>Proforma Institut</v>
      </c>
      <c r="C79" s="6" t="str">
        <f>APPRENANTS!C68</f>
        <v>MOH</v>
      </c>
      <c r="D79" s="6" t="str">
        <f>APPRENANTS!G68</f>
        <v>Accepté</v>
      </c>
      <c r="E79" s="6" t="str">
        <f>APPRENANTS!D68</f>
        <v>Communiquer sur les réseaux sociaux pour promouvoir sa TPE</v>
      </c>
      <c r="F79" s="6" t="str">
        <f>APPRENANTS!E68</f>
        <v>2026-08-03</v>
      </c>
      <c r="G79" s="6" t="str">
        <f>APPRENANTS!F68</f>
        <v>2026-08-08</v>
      </c>
      <c r="H79" s="6" t="str">
        <f>APPRENANTS!H68</f>
        <v/>
      </c>
      <c r="I79" s="6" t="str">
        <f>APPRENANTS!I68</f>
        <v/>
      </c>
      <c r="J79" s="6" t="str">
        <f>APPRENANTS!J68</f>
        <v/>
      </c>
      <c r="K79" s="6" t="str">
        <f>APPRENANTS!K68</f>
        <v/>
      </c>
      <c r="L79" s="11"/>
      <c r="M79" s="11"/>
      <c r="N79" s="6" t="str">
        <f>'WEDOF - EXAMEN FINAL'!D68</f>
        <v>A faire</v>
      </c>
      <c r="O79" s="6" t="str">
        <f>'WEDOF - EXAMEN FINAL'!E68</f>
        <v>A faire</v>
      </c>
      <c r="P79" s="6" t="str">
        <f>'WEDOF - EXAMEN FINAL'!H68</f>
        <v/>
      </c>
      <c r="Q79" s="6" t="str">
        <f>'WEDOF - EXAMEN FINAL'!F68</f>
        <v>A faire</v>
      </c>
      <c r="R79" s="11"/>
      <c r="S79" s="6">
        <f>'PAIEMENTS &amp; COMMISSIONS'!I68</f>
        <v>1500</v>
      </c>
      <c r="T79" s="6" t="b">
        <f t="shared" si="2"/>
        <v>1</v>
      </c>
      <c r="U79" s="6" t="b">
        <f t="shared" si="3"/>
        <v>0</v>
      </c>
      <c r="V79" s="11" t="b">
        <f t="shared" ref="V79:W79" si="69">FALSE()</f>
        <v>0</v>
      </c>
      <c r="W79" s="11" t="b">
        <f t="shared" si="69"/>
        <v>0</v>
      </c>
      <c r="X79" s="10" t="str">
        <f>APPRENANTS!Y68</f>
        <v>Oui</v>
      </c>
    </row>
    <row r="80" ht="15.0" customHeight="1">
      <c r="A80" s="6" t="str">
        <f>APPRENANTS!B69</f>
        <v>MASELE MUKONGA Ann</v>
      </c>
      <c r="B80" s="6" t="str">
        <f>APPRENANTS!A69</f>
        <v>Proforma Institut</v>
      </c>
      <c r="C80" s="6" t="str">
        <f>APPRENANTS!C69</f>
        <v>MOH</v>
      </c>
      <c r="D80" s="6" t="str">
        <f>APPRENANTS!G69</f>
        <v>Accepté</v>
      </c>
      <c r="E80" s="6" t="str">
        <f>APPRENANTS!D69</f>
        <v>Réaliser les opérations comptables courantes d'une TPE</v>
      </c>
      <c r="F80" s="6" t="str">
        <f>APPRENANTS!E69</f>
        <v>2026-08-10</v>
      </c>
      <c r="G80" s="6" t="str">
        <f>APPRENANTS!F69</f>
        <v>2026-08-15</v>
      </c>
      <c r="H80" s="6" t="str">
        <f>APPRENANTS!H69</f>
        <v/>
      </c>
      <c r="I80" s="6" t="str">
        <f>APPRENANTS!I69</f>
        <v/>
      </c>
      <c r="J80" s="6" t="str">
        <f>APPRENANTS!J69</f>
        <v/>
      </c>
      <c r="K80" s="6" t="str">
        <f>APPRENANTS!K69</f>
        <v/>
      </c>
      <c r="L80" s="11"/>
      <c r="M80" s="11"/>
      <c r="N80" s="6" t="str">
        <f>'WEDOF - EXAMEN FINAL'!D69</f>
        <v>A faire</v>
      </c>
      <c r="O80" s="6" t="str">
        <f>'WEDOF - EXAMEN FINAL'!E69</f>
        <v>A faire</v>
      </c>
      <c r="P80" s="6" t="str">
        <f>'WEDOF - EXAMEN FINAL'!H69</f>
        <v/>
      </c>
      <c r="Q80" s="6" t="str">
        <f>'WEDOF - EXAMEN FINAL'!F69</f>
        <v>A faire</v>
      </c>
      <c r="R80" s="11"/>
      <c r="S80" s="6">
        <f>'PAIEMENTS &amp; COMMISSIONS'!I69</f>
        <v>1500</v>
      </c>
      <c r="T80" s="6" t="b">
        <f t="shared" si="2"/>
        <v>1</v>
      </c>
      <c r="U80" s="6" t="b">
        <f t="shared" si="3"/>
        <v>0</v>
      </c>
      <c r="V80" s="11" t="b">
        <f t="shared" ref="V80:W80" si="70">FALSE()</f>
        <v>0</v>
      </c>
      <c r="W80" s="11" t="b">
        <f t="shared" si="70"/>
        <v>0</v>
      </c>
      <c r="X80" s="10" t="str">
        <f>APPRENANTS!Y69</f>
        <v>Oui</v>
      </c>
    </row>
    <row r="81" ht="15.0" customHeight="1">
      <c r="A81" s="6" t="str">
        <f>APPRENANTS!B70</f>
        <v>SANCHEZ Fabrice</v>
      </c>
      <c r="B81" s="6" t="str">
        <f>APPRENANTS!A70</f>
        <v>Proforma Institut</v>
      </c>
      <c r="C81" s="6" t="str">
        <f>APPRENANTS!C70</f>
        <v>MOH</v>
      </c>
      <c r="D81" s="6" t="str">
        <f>APPRENANTS!G70</f>
        <v>en attente</v>
      </c>
      <c r="E81" s="6" t="str">
        <f>APPRENANTS!D70</f>
        <v>Améliorer l'efficacité de sa TPE à l'aide de l'IA</v>
      </c>
      <c r="F81" s="6" t="str">
        <f>APPRENANTS!E70</f>
        <v>2026-07-27</v>
      </c>
      <c r="G81" s="6" t="str">
        <f>APPRENANTS!F70</f>
        <v>2026-08-01</v>
      </c>
      <c r="H81" s="6" t="str">
        <f>APPRENANTS!H70</f>
        <v/>
      </c>
      <c r="I81" s="6" t="str">
        <f>APPRENANTS!I70</f>
        <v/>
      </c>
      <c r="J81" s="6" t="str">
        <f>APPRENANTS!J70</f>
        <v/>
      </c>
      <c r="K81" s="6" t="str">
        <f>APPRENANTS!K70</f>
        <v/>
      </c>
      <c r="L81" s="11"/>
      <c r="M81" s="11"/>
      <c r="N81" s="6" t="str">
        <f>'WEDOF - EXAMEN FINAL'!D70</f>
        <v>A faire</v>
      </c>
      <c r="O81" s="6" t="str">
        <f>'WEDOF - EXAMEN FINAL'!E70</f>
        <v>A faire</v>
      </c>
      <c r="P81" s="6" t="str">
        <f>'WEDOF - EXAMEN FINAL'!H70</f>
        <v/>
      </c>
      <c r="Q81" s="6" t="str">
        <f>'WEDOF - EXAMEN FINAL'!F70</f>
        <v>A faire</v>
      </c>
      <c r="R81" s="11"/>
      <c r="S81" s="6">
        <f>'PAIEMENTS &amp; COMMISSIONS'!I70</f>
        <v>1500</v>
      </c>
      <c r="T81" s="6" t="b">
        <f t="shared" si="2"/>
        <v>1</v>
      </c>
      <c r="U81" s="6" t="b">
        <f t="shared" si="3"/>
        <v>0</v>
      </c>
      <c r="V81" s="11" t="b">
        <f t="shared" ref="V81:W81" si="71">FALSE()</f>
        <v>0</v>
      </c>
      <c r="W81" s="11" t="b">
        <f t="shared" si="71"/>
        <v>0</v>
      </c>
      <c r="X81" s="10" t="str">
        <f>APPRENANTS!Y70</f>
        <v>Oui</v>
      </c>
    </row>
    <row r="82" ht="15.0" customHeight="1">
      <c r="A82" s="6" t="str">
        <f>APPRENANTS!B71</f>
        <v>SANCHEZ Fabrice</v>
      </c>
      <c r="B82" s="6" t="str">
        <f>APPRENANTS!A71</f>
        <v>Proforma Institut</v>
      </c>
      <c r="C82" s="6" t="str">
        <f>APPRENANTS!C71</f>
        <v>MOH</v>
      </c>
      <c r="D82" s="6" t="str">
        <f>APPRENANTS!G71</f>
        <v>en attente</v>
      </c>
      <c r="E82" s="6" t="str">
        <f>APPRENANTS!D71</f>
        <v>Communiquer sur les réseaux sociaux pour promouvoir sa TPE</v>
      </c>
      <c r="F82" s="6" t="str">
        <f>APPRENANTS!E71</f>
        <v>2026-08-03</v>
      </c>
      <c r="G82" s="6" t="str">
        <f>APPRENANTS!F71</f>
        <v>2026-08-08</v>
      </c>
      <c r="H82" s="6" t="str">
        <f>APPRENANTS!H71</f>
        <v/>
      </c>
      <c r="I82" s="6" t="str">
        <f>APPRENANTS!I71</f>
        <v/>
      </c>
      <c r="J82" s="6" t="str">
        <f>APPRENANTS!J71</f>
        <v/>
      </c>
      <c r="K82" s="6" t="str">
        <f>APPRENANTS!K71</f>
        <v/>
      </c>
      <c r="L82" s="11"/>
      <c r="M82" s="11"/>
      <c r="N82" s="6" t="str">
        <f>'WEDOF - EXAMEN FINAL'!D71</f>
        <v>A faire</v>
      </c>
      <c r="O82" s="6" t="str">
        <f>'WEDOF - EXAMEN FINAL'!E71</f>
        <v>A faire</v>
      </c>
      <c r="P82" s="6" t="str">
        <f>'WEDOF - EXAMEN FINAL'!H71</f>
        <v/>
      </c>
      <c r="Q82" s="6" t="str">
        <f>'WEDOF - EXAMEN FINAL'!F71</f>
        <v>A faire</v>
      </c>
      <c r="R82" s="11"/>
      <c r="S82" s="6">
        <f>'PAIEMENTS &amp; COMMISSIONS'!I71</f>
        <v>1500</v>
      </c>
      <c r="T82" s="6" t="b">
        <f t="shared" si="2"/>
        <v>1</v>
      </c>
      <c r="U82" s="6" t="b">
        <f t="shared" si="3"/>
        <v>0</v>
      </c>
      <c r="V82" s="11" t="b">
        <f t="shared" ref="V82:W82" si="72">FALSE()</f>
        <v>0</v>
      </c>
      <c r="W82" s="11" t="b">
        <f t="shared" si="72"/>
        <v>0</v>
      </c>
      <c r="X82" s="10" t="str">
        <f>APPRENANTS!Y71</f>
        <v>Oui</v>
      </c>
    </row>
    <row r="83" ht="15.0" customHeight="1">
      <c r="A83" s="6" t="str">
        <f>APPRENANTS!B72</f>
        <v>SANCHEZ Fabrice</v>
      </c>
      <c r="B83" s="6" t="str">
        <f>APPRENANTS!A72</f>
        <v>Proforma Institut</v>
      </c>
      <c r="C83" s="6" t="str">
        <f>APPRENANTS!C72</f>
        <v>MOH</v>
      </c>
      <c r="D83" s="6" t="str">
        <f>APPRENANTS!G72</f>
        <v>en attente</v>
      </c>
      <c r="E83" s="6" t="str">
        <f>APPRENANTS!D72</f>
        <v>Réaliser les opérations comptables courantes d'une TPE</v>
      </c>
      <c r="F83" s="6" t="str">
        <f>APPRENANTS!E72</f>
        <v>2026-08-10</v>
      </c>
      <c r="G83" s="6" t="str">
        <f>APPRENANTS!F72</f>
        <v>2026-08-15</v>
      </c>
      <c r="H83" s="6" t="str">
        <f>APPRENANTS!H72</f>
        <v/>
      </c>
      <c r="I83" s="6" t="str">
        <f>APPRENANTS!I72</f>
        <v/>
      </c>
      <c r="J83" s="6" t="str">
        <f>APPRENANTS!J72</f>
        <v/>
      </c>
      <c r="K83" s="6" t="str">
        <f>APPRENANTS!K72</f>
        <v/>
      </c>
      <c r="L83" s="11"/>
      <c r="M83" s="11"/>
      <c r="N83" s="6" t="str">
        <f>'WEDOF - EXAMEN FINAL'!D72</f>
        <v>A faire</v>
      </c>
      <c r="O83" s="6" t="str">
        <f>'WEDOF - EXAMEN FINAL'!E72</f>
        <v>A faire</v>
      </c>
      <c r="P83" s="6" t="str">
        <f>'WEDOF - EXAMEN FINAL'!H72</f>
        <v/>
      </c>
      <c r="Q83" s="6" t="str">
        <f>'WEDOF - EXAMEN FINAL'!F72</f>
        <v>A faire</v>
      </c>
      <c r="R83" s="11"/>
      <c r="S83" s="6">
        <f>'PAIEMENTS &amp; COMMISSIONS'!I72</f>
        <v>1500</v>
      </c>
      <c r="T83" s="6" t="b">
        <f t="shared" si="2"/>
        <v>1</v>
      </c>
      <c r="U83" s="6" t="b">
        <f t="shared" si="3"/>
        <v>0</v>
      </c>
      <c r="V83" s="11" t="b">
        <f t="shared" ref="V83:W83" si="73">FALSE()</f>
        <v>0</v>
      </c>
      <c r="W83" s="11" t="b">
        <f t="shared" si="73"/>
        <v>0</v>
      </c>
      <c r="X83" s="10" t="str">
        <f>APPRENANTS!Y72</f>
        <v>Oui</v>
      </c>
    </row>
    <row r="84" ht="15.0" customHeight="1">
      <c r="A84" s="6" t="str">
        <f>APPRENANTS!B73</f>
        <v>LAZREG Redha</v>
      </c>
      <c r="B84" s="6" t="str">
        <f>APPRENANTS!A73</f>
        <v>Proforma Institut</v>
      </c>
      <c r="C84" s="6" t="str">
        <f>APPRENANTS!C73</f>
        <v>hak</v>
      </c>
      <c r="D84" s="6" t="str">
        <f>APPRENANTS!G73</f>
        <v>en attente</v>
      </c>
      <c r="E84" s="6" t="str">
        <f>APPRENANTS!D73</f>
        <v>Améliorer l'efficacité de sa TPE à l'aide de l'IA</v>
      </c>
      <c r="F84" s="6" t="str">
        <f>APPRENANTS!E73</f>
        <v>2026-07-27</v>
      </c>
      <c r="G84" s="6" t="str">
        <f>APPRENANTS!F73</f>
        <v>2026-08-01</v>
      </c>
      <c r="H84" s="6" t="str">
        <f>APPRENANTS!H73</f>
        <v/>
      </c>
      <c r="I84" s="6" t="str">
        <f>APPRENANTS!I73</f>
        <v/>
      </c>
      <c r="J84" s="6" t="str">
        <f>APPRENANTS!J73</f>
        <v/>
      </c>
      <c r="K84" s="6" t="str">
        <f>APPRENANTS!K73</f>
        <v/>
      </c>
      <c r="L84" s="11"/>
      <c r="M84" s="11"/>
      <c r="N84" s="6" t="str">
        <f>'WEDOF - EXAMEN FINAL'!D73</f>
        <v>A faire</v>
      </c>
      <c r="O84" s="6" t="str">
        <f>'WEDOF - EXAMEN FINAL'!E73</f>
        <v>A faire</v>
      </c>
      <c r="P84" s="6" t="str">
        <f>'WEDOF - EXAMEN FINAL'!H73</f>
        <v/>
      </c>
      <c r="Q84" s="6" t="str">
        <f>'WEDOF - EXAMEN FINAL'!F73</f>
        <v>A faire</v>
      </c>
      <c r="R84" s="11"/>
      <c r="S84" s="6">
        <f>'PAIEMENTS &amp; COMMISSIONS'!I73</f>
        <v>1500</v>
      </c>
      <c r="T84" s="6" t="b">
        <f t="shared" si="2"/>
        <v>0</v>
      </c>
      <c r="U84" s="6" t="b">
        <f t="shared" si="3"/>
        <v>0</v>
      </c>
      <c r="V84" s="11" t="b">
        <f t="shared" ref="V84:W84" si="74">FALSE()</f>
        <v>0</v>
      </c>
      <c r="W84" s="11" t="b">
        <f t="shared" si="74"/>
        <v>0</v>
      </c>
      <c r="X84" s="10" t="str">
        <f>APPRENANTS!Y73</f>
        <v>Non</v>
      </c>
    </row>
    <row r="85" ht="15.0" customHeight="1">
      <c r="A85" s="6" t="str">
        <f>APPRENANTS!B74</f>
        <v>LAZREG Redha</v>
      </c>
      <c r="B85" s="6" t="str">
        <f>APPRENANTS!A74</f>
        <v>Proforma Institut</v>
      </c>
      <c r="C85" s="6" t="str">
        <f>APPRENANTS!C74</f>
        <v>hak</v>
      </c>
      <c r="D85" s="6" t="str">
        <f>APPRENANTS!G74</f>
        <v>en attente</v>
      </c>
      <c r="E85" s="6" t="str">
        <f>APPRENANTS!D74</f>
        <v>Communiquer sur les réseaux sociaux pour promouvoir sa TPE</v>
      </c>
      <c r="F85" s="6" t="str">
        <f>APPRENANTS!E74</f>
        <v>2026-08-03</v>
      </c>
      <c r="G85" s="6" t="str">
        <f>APPRENANTS!F74</f>
        <v>2026-08-08</v>
      </c>
      <c r="H85" s="6" t="str">
        <f>APPRENANTS!H74</f>
        <v/>
      </c>
      <c r="I85" s="6" t="str">
        <f>APPRENANTS!I74</f>
        <v/>
      </c>
      <c r="J85" s="6" t="str">
        <f>APPRENANTS!J74</f>
        <v/>
      </c>
      <c r="K85" s="6" t="str">
        <f>APPRENANTS!K74</f>
        <v/>
      </c>
      <c r="L85" s="11"/>
      <c r="M85" s="11"/>
      <c r="N85" s="6" t="str">
        <f>'WEDOF - EXAMEN FINAL'!D74</f>
        <v>A faire</v>
      </c>
      <c r="O85" s="6" t="str">
        <f>'WEDOF - EXAMEN FINAL'!E74</f>
        <v>A faire</v>
      </c>
      <c r="P85" s="6" t="str">
        <f>'WEDOF - EXAMEN FINAL'!H74</f>
        <v/>
      </c>
      <c r="Q85" s="6" t="str">
        <f>'WEDOF - EXAMEN FINAL'!F74</f>
        <v>A faire</v>
      </c>
      <c r="R85" s="11"/>
      <c r="S85" s="6">
        <f>'PAIEMENTS &amp; COMMISSIONS'!I74</f>
        <v>1500</v>
      </c>
      <c r="T85" s="6" t="b">
        <f t="shared" si="2"/>
        <v>0</v>
      </c>
      <c r="U85" s="6" t="b">
        <f t="shared" si="3"/>
        <v>0</v>
      </c>
      <c r="V85" s="11" t="b">
        <f t="shared" ref="V85:W85" si="75">FALSE()</f>
        <v>0</v>
      </c>
      <c r="W85" s="11" t="b">
        <f t="shared" si="75"/>
        <v>0</v>
      </c>
      <c r="X85" s="10" t="str">
        <f>APPRENANTS!Y74</f>
        <v>Non</v>
      </c>
    </row>
    <row r="86" ht="15.0" customHeight="1">
      <c r="A86" s="6" t="str">
        <f>APPRENANTS!B75</f>
        <v>LAZREG Redha</v>
      </c>
      <c r="B86" s="6" t="str">
        <f>APPRENANTS!A75</f>
        <v>Proforma Institut</v>
      </c>
      <c r="C86" s="6" t="str">
        <f>APPRENANTS!C75</f>
        <v>hak</v>
      </c>
      <c r="D86" s="6" t="str">
        <f>APPRENANTS!G75</f>
        <v>en attente</v>
      </c>
      <c r="E86" s="6" t="str">
        <f>APPRENANTS!D75</f>
        <v>Réaliser les opérations comptables courantes d'une TPE</v>
      </c>
      <c r="F86" s="6" t="str">
        <f>APPRENANTS!E75</f>
        <v>2026-08-10</v>
      </c>
      <c r="G86" s="6" t="str">
        <f>APPRENANTS!F75</f>
        <v>2026-08-15</v>
      </c>
      <c r="H86" s="6" t="str">
        <f>APPRENANTS!H75</f>
        <v/>
      </c>
      <c r="I86" s="6" t="str">
        <f>APPRENANTS!I75</f>
        <v/>
      </c>
      <c r="J86" s="6" t="str">
        <f>APPRENANTS!J75</f>
        <v/>
      </c>
      <c r="K86" s="6" t="str">
        <f>APPRENANTS!K75</f>
        <v/>
      </c>
      <c r="L86" s="11"/>
      <c r="M86" s="11"/>
      <c r="N86" s="6" t="str">
        <f>'WEDOF - EXAMEN FINAL'!D75</f>
        <v>A faire</v>
      </c>
      <c r="O86" s="6" t="str">
        <f>'WEDOF - EXAMEN FINAL'!E75</f>
        <v>A faire</v>
      </c>
      <c r="P86" s="6" t="str">
        <f>'WEDOF - EXAMEN FINAL'!H75</f>
        <v/>
      </c>
      <c r="Q86" s="6" t="str">
        <f>'WEDOF - EXAMEN FINAL'!F75</f>
        <v>A faire</v>
      </c>
      <c r="R86" s="11"/>
      <c r="S86" s="6">
        <f>'PAIEMENTS &amp; COMMISSIONS'!I75</f>
        <v>1500</v>
      </c>
      <c r="T86" s="6" t="b">
        <f t="shared" si="2"/>
        <v>0</v>
      </c>
      <c r="U86" s="6" t="b">
        <f t="shared" si="3"/>
        <v>0</v>
      </c>
      <c r="V86" s="11" t="b">
        <f t="shared" ref="V86:W86" si="76">FALSE()</f>
        <v>0</v>
      </c>
      <c r="W86" s="11" t="b">
        <f t="shared" si="76"/>
        <v>0</v>
      </c>
      <c r="X86" s="10" t="str">
        <f>APPRENANTS!Y75</f>
        <v>Non</v>
      </c>
    </row>
    <row r="87" ht="15.0" customHeight="1">
      <c r="A87" s="6" t="str">
        <f>APPRENANTS!B76</f>
        <v>CATENNE Guillaume</v>
      </c>
      <c r="B87" s="6" t="str">
        <f>APPRENANTS!A76</f>
        <v>Proforma Institut</v>
      </c>
      <c r="C87" s="6" t="str">
        <f>APPRENANTS!C76</f>
        <v>hak</v>
      </c>
      <c r="D87" s="6" t="str">
        <f>APPRENANTS!G76</f>
        <v>Accepté</v>
      </c>
      <c r="E87" s="6" t="str">
        <f>APPRENANTS!D76</f>
        <v>Améliorer l'efficacité de sa TPE à l'aide de l'IA</v>
      </c>
      <c r="F87" s="6" t="str">
        <f>APPRENANTS!E76</f>
        <v>2026-07-27</v>
      </c>
      <c r="G87" s="6" t="str">
        <f>APPRENANTS!F76</f>
        <v>2026-08-01</v>
      </c>
      <c r="H87" s="6" t="str">
        <f>APPRENANTS!H76</f>
        <v/>
      </c>
      <c r="I87" s="6" t="str">
        <f>APPRENANTS!I76</f>
        <v/>
      </c>
      <c r="J87" s="6" t="str">
        <f>APPRENANTS!J76</f>
        <v/>
      </c>
      <c r="K87" s="6" t="str">
        <f>APPRENANTS!K76</f>
        <v/>
      </c>
      <c r="L87" s="11"/>
      <c r="M87" s="11"/>
      <c r="N87" s="6" t="str">
        <f>'WEDOF - EXAMEN FINAL'!D76</f>
        <v>A faire</v>
      </c>
      <c r="O87" s="6" t="str">
        <f>'WEDOF - EXAMEN FINAL'!E76</f>
        <v>A faire</v>
      </c>
      <c r="P87" s="6" t="str">
        <f>'WEDOF - EXAMEN FINAL'!H76</f>
        <v/>
      </c>
      <c r="Q87" s="6" t="str">
        <f>'WEDOF - EXAMEN FINAL'!F76</f>
        <v>A faire</v>
      </c>
      <c r="R87" s="11"/>
      <c r="S87" s="6">
        <f>'PAIEMENTS &amp; COMMISSIONS'!I76</f>
        <v>1500</v>
      </c>
      <c r="T87" s="6" t="b">
        <f t="shared" si="2"/>
        <v>1</v>
      </c>
      <c r="U87" s="6" t="b">
        <f t="shared" si="3"/>
        <v>0</v>
      </c>
      <c r="V87" s="11" t="b">
        <f t="shared" ref="V87:W87" si="77">FALSE()</f>
        <v>0</v>
      </c>
      <c r="W87" s="11" t="b">
        <f t="shared" si="77"/>
        <v>0</v>
      </c>
      <c r="X87" s="10" t="str">
        <f>APPRENANTS!Y76</f>
        <v>Oui</v>
      </c>
    </row>
    <row r="88" ht="15.0" customHeight="1">
      <c r="A88" s="6" t="str">
        <f>APPRENANTS!B77</f>
        <v>CATENNE Guillaume</v>
      </c>
      <c r="B88" s="6" t="str">
        <f>APPRENANTS!A77</f>
        <v>Proforma Institut</v>
      </c>
      <c r="C88" s="6" t="str">
        <f>APPRENANTS!C77</f>
        <v>hak</v>
      </c>
      <c r="D88" s="6" t="str">
        <f>APPRENANTS!G77</f>
        <v>Accepté</v>
      </c>
      <c r="E88" s="6" t="str">
        <f>APPRENANTS!D77</f>
        <v>Communiquer sur les réseaux sociaux pour promouvoir sa TPE</v>
      </c>
      <c r="F88" s="6" t="str">
        <f>APPRENANTS!E77</f>
        <v>2026-08-03</v>
      </c>
      <c r="G88" s="6" t="str">
        <f>APPRENANTS!F77</f>
        <v>2026-08-08</v>
      </c>
      <c r="H88" s="6" t="str">
        <f>APPRENANTS!H77</f>
        <v/>
      </c>
      <c r="I88" s="6" t="str">
        <f>APPRENANTS!I77</f>
        <v/>
      </c>
      <c r="J88" s="6" t="str">
        <f>APPRENANTS!J77</f>
        <v/>
      </c>
      <c r="K88" s="6" t="str">
        <f>APPRENANTS!K77</f>
        <v/>
      </c>
      <c r="L88" s="11"/>
      <c r="M88" s="11"/>
      <c r="N88" s="6" t="str">
        <f>'WEDOF - EXAMEN FINAL'!D77</f>
        <v>A faire</v>
      </c>
      <c r="O88" s="6" t="str">
        <f>'WEDOF - EXAMEN FINAL'!E77</f>
        <v>A faire</v>
      </c>
      <c r="P88" s="6" t="str">
        <f>'WEDOF - EXAMEN FINAL'!H77</f>
        <v/>
      </c>
      <c r="Q88" s="6" t="str">
        <f>'WEDOF - EXAMEN FINAL'!F77</f>
        <v>A faire</v>
      </c>
      <c r="R88" s="11"/>
      <c r="S88" s="6">
        <f>'PAIEMENTS &amp; COMMISSIONS'!I77</f>
        <v>1500</v>
      </c>
      <c r="T88" s="6" t="b">
        <f t="shared" si="2"/>
        <v>1</v>
      </c>
      <c r="U88" s="6" t="b">
        <f t="shared" si="3"/>
        <v>0</v>
      </c>
      <c r="V88" s="11" t="b">
        <f t="shared" ref="V88:W88" si="78">FALSE()</f>
        <v>0</v>
      </c>
      <c r="W88" s="11" t="b">
        <f t="shared" si="78"/>
        <v>0</v>
      </c>
      <c r="X88" s="10" t="str">
        <f>APPRENANTS!Y77</f>
        <v>Oui</v>
      </c>
    </row>
    <row r="89" ht="15.0" customHeight="1">
      <c r="A89" s="6" t="str">
        <f>APPRENANTS!B78</f>
        <v>CATENNE Guillaume</v>
      </c>
      <c r="B89" s="6" t="str">
        <f>APPRENANTS!A78</f>
        <v>Proforma Institut</v>
      </c>
      <c r="C89" s="6" t="str">
        <f>APPRENANTS!C78</f>
        <v>hak</v>
      </c>
      <c r="D89" s="6" t="str">
        <f>APPRENANTS!G78</f>
        <v>Accepté</v>
      </c>
      <c r="E89" s="6" t="str">
        <f>APPRENANTS!D78</f>
        <v>Réaliser les opérations comptables courantes d'une TPE</v>
      </c>
      <c r="F89" s="6" t="str">
        <f>APPRENANTS!E78</f>
        <v>2026-08-10</v>
      </c>
      <c r="G89" s="6" t="str">
        <f>APPRENANTS!F78</f>
        <v>2026-08-15</v>
      </c>
      <c r="H89" s="6" t="str">
        <f>APPRENANTS!H78</f>
        <v/>
      </c>
      <c r="I89" s="6" t="str">
        <f>APPRENANTS!I78</f>
        <v/>
      </c>
      <c r="J89" s="6" t="str">
        <f>APPRENANTS!J78</f>
        <v/>
      </c>
      <c r="K89" s="6" t="str">
        <f>APPRENANTS!K78</f>
        <v/>
      </c>
      <c r="L89" s="11"/>
      <c r="M89" s="11"/>
      <c r="N89" s="6" t="str">
        <f>'WEDOF - EXAMEN FINAL'!D78</f>
        <v>A faire</v>
      </c>
      <c r="O89" s="6" t="str">
        <f>'WEDOF - EXAMEN FINAL'!E78</f>
        <v>A faire</v>
      </c>
      <c r="P89" s="6" t="str">
        <f>'WEDOF - EXAMEN FINAL'!H78</f>
        <v/>
      </c>
      <c r="Q89" s="6" t="str">
        <f>'WEDOF - EXAMEN FINAL'!F78</f>
        <v>A faire</v>
      </c>
      <c r="R89" s="11"/>
      <c r="S89" s="6">
        <f>'PAIEMENTS &amp; COMMISSIONS'!I78</f>
        <v>1500</v>
      </c>
      <c r="T89" s="6" t="b">
        <f t="shared" si="2"/>
        <v>1</v>
      </c>
      <c r="U89" s="6" t="b">
        <f t="shared" si="3"/>
        <v>0</v>
      </c>
      <c r="V89" s="11" t="b">
        <f t="shared" ref="V89:W89" si="79">FALSE()</f>
        <v>0</v>
      </c>
      <c r="W89" s="11" t="b">
        <f t="shared" si="79"/>
        <v>0</v>
      </c>
      <c r="X89" s="10" t="str">
        <f>APPRENANTS!Y78</f>
        <v>Oui</v>
      </c>
    </row>
    <row r="90" ht="15.0" customHeight="1">
      <c r="A90" s="6" t="str">
        <f>APPRENANTS!B79</f>
        <v>BENSAID Lahouari</v>
      </c>
      <c r="B90" s="6" t="str">
        <f>APPRENANTS!A79</f>
        <v>Proforma Institut</v>
      </c>
      <c r="C90" s="6" t="str">
        <f>APPRENANTS!C79</f>
        <v>hak</v>
      </c>
      <c r="D90" s="6" t="str">
        <f>APPRENANTS!G79</f>
        <v>en attente</v>
      </c>
      <c r="E90" s="6" t="str">
        <f>APPRENANTS!D79</f>
        <v>Améliorer l'efficacité de sa TPE à l'aide de l'IA</v>
      </c>
      <c r="F90" s="6" t="str">
        <f>APPRENANTS!E79</f>
        <v>2026-07-27</v>
      </c>
      <c r="G90" s="6" t="str">
        <f>APPRENANTS!F79</f>
        <v>2026-08-01</v>
      </c>
      <c r="H90" s="6" t="str">
        <f>APPRENANTS!H79</f>
        <v/>
      </c>
      <c r="I90" s="6" t="str">
        <f>APPRENANTS!I79</f>
        <v/>
      </c>
      <c r="J90" s="6" t="str">
        <f>APPRENANTS!J79</f>
        <v/>
      </c>
      <c r="K90" s="6" t="str">
        <f>APPRENANTS!K79</f>
        <v/>
      </c>
      <c r="L90" s="11"/>
      <c r="M90" s="11"/>
      <c r="N90" s="6" t="str">
        <f>'WEDOF - EXAMEN FINAL'!D79</f>
        <v>A faire</v>
      </c>
      <c r="O90" s="6" t="str">
        <f>'WEDOF - EXAMEN FINAL'!E79</f>
        <v>A faire</v>
      </c>
      <c r="P90" s="6" t="str">
        <f>'WEDOF - EXAMEN FINAL'!H79</f>
        <v/>
      </c>
      <c r="Q90" s="6" t="str">
        <f>'WEDOF - EXAMEN FINAL'!F79</f>
        <v>A faire</v>
      </c>
      <c r="R90" s="11"/>
      <c r="S90" s="6">
        <f>'PAIEMENTS &amp; COMMISSIONS'!I79</f>
        <v>1500</v>
      </c>
      <c r="T90" s="6" t="b">
        <f t="shared" si="2"/>
        <v>1</v>
      </c>
      <c r="U90" s="6" t="b">
        <f t="shared" si="3"/>
        <v>0</v>
      </c>
      <c r="V90" s="11" t="b">
        <f t="shared" ref="V90:W90" si="80">FALSE()</f>
        <v>0</v>
      </c>
      <c r="W90" s="11" t="b">
        <f t="shared" si="80"/>
        <v>0</v>
      </c>
      <c r="X90" s="10" t="str">
        <f>APPRENANTS!Y79</f>
        <v>Oui</v>
      </c>
    </row>
    <row r="91" ht="15.0" customHeight="1">
      <c r="A91" s="6" t="str">
        <f>APPRENANTS!B80</f>
        <v>BENSAID Lahouari</v>
      </c>
      <c r="B91" s="6" t="str">
        <f>APPRENANTS!A80</f>
        <v>Proforma Institut</v>
      </c>
      <c r="C91" s="6" t="str">
        <f>APPRENANTS!C80</f>
        <v>hak</v>
      </c>
      <c r="D91" s="6" t="str">
        <f>APPRENANTS!G80</f>
        <v>en attente</v>
      </c>
      <c r="E91" s="6" t="str">
        <f>APPRENANTS!D80</f>
        <v>Communiquer sur les réseaux sociaux pour promouvoir sa TPE</v>
      </c>
      <c r="F91" s="6" t="str">
        <f>APPRENANTS!E80</f>
        <v>2026-08-03</v>
      </c>
      <c r="G91" s="6" t="str">
        <f>APPRENANTS!F80</f>
        <v>2026-08-08</v>
      </c>
      <c r="H91" s="6" t="str">
        <f>APPRENANTS!H80</f>
        <v/>
      </c>
      <c r="I91" s="6" t="str">
        <f>APPRENANTS!I80</f>
        <v/>
      </c>
      <c r="J91" s="6" t="str">
        <f>APPRENANTS!J80</f>
        <v/>
      </c>
      <c r="K91" s="6" t="str">
        <f>APPRENANTS!K80</f>
        <v/>
      </c>
      <c r="L91" s="11"/>
      <c r="M91" s="11"/>
      <c r="N91" s="6" t="str">
        <f>'WEDOF - EXAMEN FINAL'!D80</f>
        <v>A faire</v>
      </c>
      <c r="O91" s="6" t="str">
        <f>'WEDOF - EXAMEN FINAL'!E80</f>
        <v>A faire</v>
      </c>
      <c r="P91" s="6" t="str">
        <f>'WEDOF - EXAMEN FINAL'!H80</f>
        <v/>
      </c>
      <c r="Q91" s="6" t="str">
        <f>'WEDOF - EXAMEN FINAL'!F80</f>
        <v>A faire</v>
      </c>
      <c r="R91" s="11"/>
      <c r="S91" s="6">
        <f>'PAIEMENTS &amp; COMMISSIONS'!I80</f>
        <v>1500</v>
      </c>
      <c r="T91" s="6" t="b">
        <f t="shared" si="2"/>
        <v>1</v>
      </c>
      <c r="U91" s="6" t="b">
        <f t="shared" si="3"/>
        <v>0</v>
      </c>
      <c r="V91" s="11" t="b">
        <f t="shared" ref="V91:W91" si="81">FALSE()</f>
        <v>0</v>
      </c>
      <c r="W91" s="11" t="b">
        <f t="shared" si="81"/>
        <v>0</v>
      </c>
      <c r="X91" s="10" t="str">
        <f>APPRENANTS!Y80</f>
        <v>Oui</v>
      </c>
    </row>
    <row r="92" ht="15.0" customHeight="1">
      <c r="A92" s="6" t="str">
        <f>APPRENANTS!B81</f>
        <v>BENSAID Lahouari</v>
      </c>
      <c r="B92" s="6" t="str">
        <f>APPRENANTS!A81</f>
        <v>Proforma Institut</v>
      </c>
      <c r="C92" s="6" t="str">
        <f>APPRENANTS!C81</f>
        <v>hak</v>
      </c>
      <c r="D92" s="6" t="str">
        <f>APPRENANTS!G81</f>
        <v>en attente</v>
      </c>
      <c r="E92" s="6" t="str">
        <f>APPRENANTS!D81</f>
        <v>Réaliser les opérations comptables courantes d'une TPE</v>
      </c>
      <c r="F92" s="6" t="str">
        <f>APPRENANTS!E81</f>
        <v>2026-08-10</v>
      </c>
      <c r="G92" s="6" t="str">
        <f>APPRENANTS!F81</f>
        <v>2026-08-15</v>
      </c>
      <c r="H92" s="6" t="str">
        <f>APPRENANTS!H81</f>
        <v/>
      </c>
      <c r="I92" s="6" t="str">
        <f>APPRENANTS!I81</f>
        <v/>
      </c>
      <c r="J92" s="6" t="str">
        <f>APPRENANTS!J81</f>
        <v/>
      </c>
      <c r="K92" s="6" t="str">
        <f>APPRENANTS!K81</f>
        <v/>
      </c>
      <c r="L92" s="11"/>
      <c r="M92" s="11"/>
      <c r="N92" s="6" t="str">
        <f>'WEDOF - EXAMEN FINAL'!D81</f>
        <v>A faire</v>
      </c>
      <c r="O92" s="6" t="str">
        <f>'WEDOF - EXAMEN FINAL'!E81</f>
        <v>A faire</v>
      </c>
      <c r="P92" s="6" t="str">
        <f>'WEDOF - EXAMEN FINAL'!H81</f>
        <v/>
      </c>
      <c r="Q92" s="6" t="str">
        <f>'WEDOF - EXAMEN FINAL'!F81</f>
        <v>A faire</v>
      </c>
      <c r="R92" s="11"/>
      <c r="S92" s="6">
        <f>'PAIEMENTS &amp; COMMISSIONS'!I81</f>
        <v>1500</v>
      </c>
      <c r="T92" s="6" t="b">
        <f t="shared" si="2"/>
        <v>1</v>
      </c>
      <c r="U92" s="6" t="b">
        <f t="shared" si="3"/>
        <v>0</v>
      </c>
      <c r="V92" s="11" t="b">
        <f t="shared" ref="V92:W92" si="82">FALSE()</f>
        <v>0</v>
      </c>
      <c r="W92" s="11" t="b">
        <f t="shared" si="82"/>
        <v>0</v>
      </c>
      <c r="X92" s="10" t="str">
        <f>APPRENANTS!Y81</f>
        <v>Oui</v>
      </c>
    </row>
    <row r="93" ht="15.0" customHeight="1">
      <c r="A93" s="6" t="str">
        <f>APPRENANTS!B82</f>
        <v>LAUZERO Jose</v>
      </c>
      <c r="B93" s="6" t="str">
        <f>APPRENANTS!A82</f>
        <v>Proskills Institut</v>
      </c>
      <c r="C93" s="6" t="str">
        <f>APPRENANTS!C82</f>
        <v>Jules</v>
      </c>
      <c r="D93" s="6" t="str">
        <f>APPRENANTS!G82</f>
        <v>payé</v>
      </c>
      <c r="E93" s="6" t="str">
        <f>APPRENANTS!D82</f>
        <v>Améliorer l'efficacité de sa TPE à l'aide de l'IA</v>
      </c>
      <c r="F93" s="6" t="str">
        <f>APPRENANTS!E82</f>
        <v>2026-05-18</v>
      </c>
      <c r="G93" s="6" t="str">
        <f>APPRENANTS!F82</f>
        <v>2026-05-22</v>
      </c>
      <c r="H93" s="6" t="str">
        <f>APPRENANTS!H82</f>
        <v>75 VMIN VIEUX CHEMIN D'ISTRES 13300 SALON DE PROVENCE</v>
      </c>
      <c r="I93" s="6" t="str">
        <f>APPRENANTS!I82</f>
        <v>jose.lauzero@gmail.com</v>
      </c>
      <c r="J93" s="6" t="str">
        <f>APPRENANTS!J82</f>
        <v>0687216599</v>
      </c>
      <c r="K93" s="6" t="str">
        <f>APPRENANTS!K82</f>
        <v/>
      </c>
      <c r="L93" s="11"/>
      <c r="M93" s="11"/>
      <c r="N93" s="6" t="str">
        <f>'WEDOF - EXAMEN FINAL'!D82</f>
        <v>A faire</v>
      </c>
      <c r="O93" s="6" t="str">
        <f>'WEDOF - EXAMEN FINAL'!E82</f>
        <v>Fait</v>
      </c>
      <c r="P93" s="6" t="str">
        <f>'WEDOF - EXAMEN FINAL'!H82</f>
        <v>6  ANS DANS L A REATURATION</v>
      </c>
      <c r="Q93" s="6" t="str">
        <f>'WEDOF - EXAMEN FINAL'!F82</f>
        <v>A faire</v>
      </c>
      <c r="R93" s="11"/>
      <c r="S93" s="6">
        <f>'PAIEMENTS &amp; COMMISSIONS'!I82</f>
        <v>1500</v>
      </c>
      <c r="T93" s="6" t="b">
        <f t="shared" si="2"/>
        <v>1</v>
      </c>
      <c r="U93" s="6" t="b">
        <f t="shared" si="3"/>
        <v>1</v>
      </c>
      <c r="V93" s="11" t="b">
        <f t="shared" ref="V93:W93" si="83">FALSE()</f>
        <v>0</v>
      </c>
      <c r="W93" s="11" t="b">
        <f t="shared" si="83"/>
        <v>0</v>
      </c>
      <c r="X93" s="10" t="str">
        <f>APPRENANTS!Y82</f>
        <v>Oui</v>
      </c>
    </row>
    <row r="94" ht="15.0" customHeight="1">
      <c r="A94" s="6" t="str">
        <f>APPRENANTS!B83</f>
        <v>LAUZERO Jose</v>
      </c>
      <c r="B94" s="6" t="str">
        <f>APPRENANTS!A83</f>
        <v>Proskills Institut</v>
      </c>
      <c r="C94" s="6" t="str">
        <f>APPRENANTS!C83</f>
        <v>Jules</v>
      </c>
      <c r="D94" s="6" t="str">
        <f>APPRENANTS!G83</f>
        <v>payé</v>
      </c>
      <c r="E94" s="6" t="str">
        <f>APPRENANTS!D83</f>
        <v>Communiquer sur les réseaux sociaux pour promouvoir sa TPE</v>
      </c>
      <c r="F94" s="6" t="str">
        <f>APPRENANTS!E83</f>
        <v>2026-05-25</v>
      </c>
      <c r="G94" s="6" t="str">
        <f>APPRENANTS!F83</f>
        <v>2026-05-30</v>
      </c>
      <c r="H94" s="6" t="str">
        <f>APPRENANTS!H83</f>
        <v>75 VMIN VIEUX CHEMIN D'ISTRES 13300 SALON DE PROVENCE</v>
      </c>
      <c r="I94" s="6" t="str">
        <f>APPRENANTS!I83</f>
        <v>jose.lauzero@gmail.com</v>
      </c>
      <c r="J94" s="6" t="str">
        <f>APPRENANTS!J83</f>
        <v/>
      </c>
      <c r="K94" s="6" t="str">
        <f>APPRENANTS!K83</f>
        <v/>
      </c>
      <c r="L94" s="11"/>
      <c r="M94" s="11"/>
      <c r="N94" s="6" t="str">
        <f>'WEDOF - EXAMEN FINAL'!D83</f>
        <v>A faire</v>
      </c>
      <c r="O94" s="6" t="str">
        <f>'WEDOF - EXAMEN FINAL'!E83</f>
        <v>Fait</v>
      </c>
      <c r="P94" s="6" t="str">
        <f>'WEDOF - EXAMEN FINAL'!H83</f>
        <v>6  ANS DANS L A REATURATION</v>
      </c>
      <c r="Q94" s="6" t="str">
        <f>'WEDOF - EXAMEN FINAL'!F83</f>
        <v>A faire</v>
      </c>
      <c r="R94" s="11"/>
      <c r="S94" s="6">
        <f>'PAIEMENTS &amp; COMMISSIONS'!I83</f>
        <v>1500</v>
      </c>
      <c r="T94" s="6" t="b">
        <f t="shared" si="2"/>
        <v>1</v>
      </c>
      <c r="U94" s="6" t="b">
        <f t="shared" si="3"/>
        <v>1</v>
      </c>
      <c r="V94" s="11" t="b">
        <f t="shared" ref="V94:W94" si="84">FALSE()</f>
        <v>0</v>
      </c>
      <c r="W94" s="11" t="b">
        <f t="shared" si="84"/>
        <v>0</v>
      </c>
      <c r="X94" s="10" t="str">
        <f>APPRENANTS!Y83</f>
        <v>Oui</v>
      </c>
    </row>
    <row r="95" ht="15.0" customHeight="1">
      <c r="A95" s="6" t="str">
        <f>APPRENANTS!B84</f>
        <v>LAUZERO Jose</v>
      </c>
      <c r="B95" s="6" t="str">
        <f>APPRENANTS!A84</f>
        <v>Proskills Institut</v>
      </c>
      <c r="C95" s="6" t="str">
        <f>APPRENANTS!C84</f>
        <v>Jules</v>
      </c>
      <c r="D95" s="6" t="str">
        <f>APPRENANTS!G84</f>
        <v>FACTURE</v>
      </c>
      <c r="E95" s="6" t="str">
        <f>APPRENANTS!D84</f>
        <v>Réaliser les opérations comptables courantes d'une TPE</v>
      </c>
      <c r="F95" s="6" t="str">
        <f>APPRENANTS!E84</f>
        <v>2026-06-01</v>
      </c>
      <c r="G95" s="6" t="str">
        <f>APPRENANTS!F84</f>
        <v>2026-06-05</v>
      </c>
      <c r="H95" s="6" t="str">
        <f>APPRENANTS!H84</f>
        <v>75 VMIN VIEUX CHEMIN D'ISTRES 13300 SALON DE PROVENCE</v>
      </c>
      <c r="I95" s="6" t="str">
        <f>APPRENANTS!I84</f>
        <v>jose.lauzero@gmail.com</v>
      </c>
      <c r="J95" s="6" t="str">
        <f>APPRENANTS!J84</f>
        <v/>
      </c>
      <c r="K95" s="6" t="str">
        <f>APPRENANTS!K84</f>
        <v/>
      </c>
      <c r="L95" s="11"/>
      <c r="M95" s="11"/>
      <c r="N95" s="6" t="str">
        <f>'WEDOF - EXAMEN FINAL'!D84</f>
        <v>A faire</v>
      </c>
      <c r="O95" s="6" t="str">
        <f>'WEDOF - EXAMEN FINAL'!E84</f>
        <v>Fait</v>
      </c>
      <c r="P95" s="6" t="str">
        <f>'WEDOF - EXAMEN FINAL'!H84</f>
        <v>6  ANS DANS L A REATURATION</v>
      </c>
      <c r="Q95" s="6" t="str">
        <f>'WEDOF - EXAMEN FINAL'!F84</f>
        <v>A faire</v>
      </c>
      <c r="R95" s="11"/>
      <c r="S95" s="6">
        <f>'PAIEMENTS &amp; COMMISSIONS'!I84</f>
        <v>1500</v>
      </c>
      <c r="T95" s="6" t="b">
        <f t="shared" si="2"/>
        <v>1</v>
      </c>
      <c r="U95" s="6" t="b">
        <f t="shared" si="3"/>
        <v>1</v>
      </c>
      <c r="V95" s="11" t="b">
        <f t="shared" ref="V95:W95" si="85">FALSE()</f>
        <v>0</v>
      </c>
      <c r="W95" s="11" t="b">
        <f t="shared" si="85"/>
        <v>0</v>
      </c>
      <c r="X95" s="10" t="str">
        <f>APPRENANTS!Y84</f>
        <v>Oui</v>
      </c>
    </row>
    <row r="96" ht="15.0" customHeight="1">
      <c r="A96" s="6" t="str">
        <f>APPRENANTS!B85</f>
        <v>MIEGE Cesar</v>
      </c>
      <c r="B96" s="6" t="str">
        <f>APPRENANTS!A85</f>
        <v>Proskills Institut</v>
      </c>
      <c r="C96" s="6" t="str">
        <f>APPRENANTS!C85</f>
        <v>Jules</v>
      </c>
      <c r="D96" s="6" t="str">
        <f>APPRENANTS!G85</f>
        <v>payé</v>
      </c>
      <c r="E96" s="6" t="str">
        <f>APPRENANTS!D85</f>
        <v>Améliorer l'efficacité de sa TPE à l'aide de l'IA</v>
      </c>
      <c r="F96" s="6" t="str">
        <f>APPRENANTS!E85</f>
        <v>2026-05-19</v>
      </c>
      <c r="G96" s="6" t="str">
        <f>APPRENANTS!F85</f>
        <v>2026-05-22</v>
      </c>
      <c r="H96" s="6" t="str">
        <f>APPRENANTS!H85</f>
        <v>75 VMIN Vieux chemin d’istres 13300 SALON DE PROVENCE</v>
      </c>
      <c r="I96" s="6" t="str">
        <f>APPRENANTS!I85</f>
        <v>cesarmege17@gmail.com</v>
      </c>
      <c r="J96" s="6" t="str">
        <f>APPRENANTS!J85</f>
        <v>0686428862</v>
      </c>
      <c r="K96" s="6" t="str">
        <f>APPRENANTS!K85</f>
        <v/>
      </c>
      <c r="L96" s="11"/>
      <c r="M96" s="11"/>
      <c r="N96" s="6" t="str">
        <f>'WEDOF - EXAMEN FINAL'!D85</f>
        <v>A faire</v>
      </c>
      <c r="O96" s="6" t="str">
        <f>'WEDOF - EXAMEN FINAL'!E85</f>
        <v>Fait</v>
      </c>
      <c r="P96" s="6" t="str">
        <f>'WEDOF - EXAMEN FINAL'!H85</f>
        <v/>
      </c>
      <c r="Q96" s="6" t="str">
        <f>'WEDOF - EXAMEN FINAL'!F85</f>
        <v>A faire</v>
      </c>
      <c r="R96" s="11"/>
      <c r="S96" s="6">
        <f>'PAIEMENTS &amp; COMMISSIONS'!I85</f>
        <v>1500</v>
      </c>
      <c r="T96" s="6" t="b">
        <f t="shared" si="2"/>
        <v>1</v>
      </c>
      <c r="U96" s="6" t="b">
        <f t="shared" si="3"/>
        <v>0</v>
      </c>
      <c r="V96" s="11" t="b">
        <f t="shared" ref="V96:W96" si="86">FALSE()</f>
        <v>0</v>
      </c>
      <c r="W96" s="11" t="b">
        <f t="shared" si="86"/>
        <v>0</v>
      </c>
      <c r="X96" s="10" t="str">
        <f>APPRENANTS!Y85</f>
        <v>Oui</v>
      </c>
    </row>
    <row r="97" ht="15.0" customHeight="1">
      <c r="A97" s="6" t="str">
        <f>APPRENANTS!B86</f>
        <v>MIEGE Cesar</v>
      </c>
      <c r="B97" s="6" t="str">
        <f>APPRENANTS!A86</f>
        <v>Proskills Institut</v>
      </c>
      <c r="C97" s="6" t="str">
        <f>APPRENANTS!C86</f>
        <v>Jules</v>
      </c>
      <c r="D97" s="6" t="str">
        <f>APPRENANTS!G86</f>
        <v>payé</v>
      </c>
      <c r="E97" s="6" t="str">
        <f>APPRENANTS!D86</f>
        <v>Communiquer sur les réseaux sociaux pour promouvoir sa TPE</v>
      </c>
      <c r="F97" s="6" t="str">
        <f>APPRENANTS!E86</f>
        <v>2026-05-25</v>
      </c>
      <c r="G97" s="6" t="str">
        <f>APPRENANTS!F86</f>
        <v>2026-05-30</v>
      </c>
      <c r="H97" s="6" t="str">
        <f>APPRENANTS!H86</f>
        <v>75 VMIN Vieux chemin d’istres 13300 SALON DE PROVENCE</v>
      </c>
      <c r="I97" s="6" t="str">
        <f>APPRENANTS!I86</f>
        <v>cesarmege17@gmail.com</v>
      </c>
      <c r="J97" s="6" t="str">
        <f>APPRENANTS!J86</f>
        <v/>
      </c>
      <c r="K97" s="6" t="str">
        <f>APPRENANTS!K86</f>
        <v/>
      </c>
      <c r="L97" s="11"/>
      <c r="M97" s="11"/>
      <c r="N97" s="6" t="str">
        <f>'WEDOF - EXAMEN FINAL'!D86</f>
        <v>A faire</v>
      </c>
      <c r="O97" s="6" t="str">
        <f>'WEDOF - EXAMEN FINAL'!E86</f>
        <v>Fait</v>
      </c>
      <c r="P97" s="6" t="str">
        <f>'WEDOF - EXAMEN FINAL'!H86</f>
        <v/>
      </c>
      <c r="Q97" s="6" t="str">
        <f>'WEDOF - EXAMEN FINAL'!F86</f>
        <v>A faire</v>
      </c>
      <c r="R97" s="11"/>
      <c r="S97" s="6">
        <f>'PAIEMENTS &amp; COMMISSIONS'!I86</f>
        <v>1500</v>
      </c>
      <c r="T97" s="6" t="b">
        <f t="shared" si="2"/>
        <v>1</v>
      </c>
      <c r="U97" s="6" t="b">
        <f t="shared" si="3"/>
        <v>0</v>
      </c>
      <c r="V97" s="11" t="b">
        <f t="shared" ref="V97:W97" si="87">FALSE()</f>
        <v>0</v>
      </c>
      <c r="W97" s="11" t="b">
        <f t="shared" si="87"/>
        <v>0</v>
      </c>
      <c r="X97" s="10" t="str">
        <f>APPRENANTS!Y86</f>
        <v>Oui</v>
      </c>
    </row>
    <row r="98" ht="15.0" customHeight="1">
      <c r="A98" s="6" t="str">
        <f>APPRENANTS!B87</f>
        <v>BONILLO Olivier</v>
      </c>
      <c r="B98" s="6" t="str">
        <f>APPRENANTS!A87</f>
        <v>Proskills Institut</v>
      </c>
      <c r="C98" s="6" t="str">
        <f>APPRENANTS!C87</f>
        <v>Jules</v>
      </c>
      <c r="D98" s="6" t="str">
        <f>APPRENANTS!G87</f>
        <v>payé</v>
      </c>
      <c r="E98" s="6" t="str">
        <f>APPRENANTS!D87</f>
        <v>Améliorer l'efficacité de sa TPE à l'aide de l'IA</v>
      </c>
      <c r="F98" s="6" t="str">
        <f>APPRENANTS!E87</f>
        <v>2026-05-19</v>
      </c>
      <c r="G98" s="6" t="str">
        <f>APPRENANTS!F87</f>
        <v>2026-05-22</v>
      </c>
      <c r="H98" s="6" t="str">
        <f>APPRENANTS!H87</f>
        <v>190 RTE Petite route des milles 13290 AIX EN PROVENCE</v>
      </c>
      <c r="I98" s="6" t="str">
        <f>APPRENANTS!I87</f>
        <v>gilly.oliver1810@gmail.com</v>
      </c>
      <c r="J98" s="6" t="str">
        <f>APPRENANTS!J87</f>
        <v>0761243015</v>
      </c>
      <c r="K98" s="6" t="str">
        <f>APPRENANTS!K87</f>
        <v/>
      </c>
      <c r="L98" s="11"/>
      <c r="M98" s="11"/>
      <c r="N98" s="6" t="str">
        <f>'WEDOF - EXAMEN FINAL'!D87</f>
        <v>A faire</v>
      </c>
      <c r="O98" s="6" t="str">
        <f>'WEDOF - EXAMEN FINAL'!E87</f>
        <v>A faire</v>
      </c>
      <c r="P98" s="6" t="str">
        <f>'WEDOF - EXAMEN FINAL'!H87</f>
        <v/>
      </c>
      <c r="Q98" s="6" t="str">
        <f>'WEDOF - EXAMEN FINAL'!F87</f>
        <v>A faire</v>
      </c>
      <c r="R98" s="11"/>
      <c r="S98" s="6">
        <f>'PAIEMENTS &amp; COMMISSIONS'!I87</f>
        <v>1500</v>
      </c>
      <c r="T98" s="6" t="b">
        <f t="shared" si="2"/>
        <v>1</v>
      </c>
      <c r="U98" s="6" t="b">
        <f t="shared" si="3"/>
        <v>0</v>
      </c>
      <c r="V98" s="11" t="b">
        <f t="shared" ref="V98:W98" si="88">FALSE()</f>
        <v>0</v>
      </c>
      <c r="W98" s="11" t="b">
        <f t="shared" si="88"/>
        <v>0</v>
      </c>
      <c r="X98" s="10" t="str">
        <f>APPRENANTS!Y87</f>
        <v>Oui</v>
      </c>
    </row>
    <row r="99" ht="15.0" customHeight="1">
      <c r="A99" s="6" t="str">
        <f>APPRENANTS!B88</f>
        <v>BONILLO Olivier</v>
      </c>
      <c r="B99" s="6" t="str">
        <f>APPRENANTS!A88</f>
        <v>Proskills Institut</v>
      </c>
      <c r="C99" s="6" t="str">
        <f>APPRENANTS!C88</f>
        <v>Jules</v>
      </c>
      <c r="D99" s="6" t="str">
        <f>APPRENANTS!G88</f>
        <v>payé</v>
      </c>
      <c r="E99" s="6" t="str">
        <f>APPRENANTS!D88</f>
        <v>Communiquer sur les réseaux sociaux pour promouvoir sa TPE</v>
      </c>
      <c r="F99" s="6" t="str">
        <f>APPRENANTS!E88</f>
        <v>2026-05-25</v>
      </c>
      <c r="G99" s="6" t="str">
        <f>APPRENANTS!F88</f>
        <v>2026-05-30</v>
      </c>
      <c r="H99" s="6" t="str">
        <f>APPRENANTS!H88</f>
        <v>190 RTE Petite route des milles 13290 AIX EN PROVENCE</v>
      </c>
      <c r="I99" s="6" t="str">
        <f>APPRENANTS!I88</f>
        <v>gilly.oliver1810@gmail.com</v>
      </c>
      <c r="J99" s="6" t="str">
        <f>APPRENANTS!J88</f>
        <v/>
      </c>
      <c r="K99" s="6" t="str">
        <f>APPRENANTS!K88</f>
        <v/>
      </c>
      <c r="L99" s="11"/>
      <c r="M99" s="11"/>
      <c r="N99" s="6" t="str">
        <f>'WEDOF - EXAMEN FINAL'!D88</f>
        <v>A faire</v>
      </c>
      <c r="O99" s="6" t="str">
        <f>'WEDOF - EXAMEN FINAL'!E88</f>
        <v>A faire</v>
      </c>
      <c r="P99" s="6" t="str">
        <f>'WEDOF - EXAMEN FINAL'!H88</f>
        <v/>
      </c>
      <c r="Q99" s="6" t="str">
        <f>'WEDOF - EXAMEN FINAL'!F88</f>
        <v>A faire</v>
      </c>
      <c r="R99" s="11"/>
      <c r="S99" s="6">
        <f>'PAIEMENTS &amp; COMMISSIONS'!I88</f>
        <v>1500</v>
      </c>
      <c r="T99" s="6" t="b">
        <f t="shared" si="2"/>
        <v>1</v>
      </c>
      <c r="U99" s="6" t="b">
        <f t="shared" si="3"/>
        <v>0</v>
      </c>
      <c r="V99" s="11" t="b">
        <f t="shared" ref="V99:W99" si="89">FALSE()</f>
        <v>0</v>
      </c>
      <c r="W99" s="11" t="b">
        <f t="shared" si="89"/>
        <v>0</v>
      </c>
      <c r="X99" s="10" t="str">
        <f>APPRENANTS!Y88</f>
        <v>Oui</v>
      </c>
    </row>
    <row r="100" ht="15.0" customHeight="1">
      <c r="A100" s="6" t="str">
        <f>APPRENANTS!B89</f>
        <v>GRAS Arnaud</v>
      </c>
      <c r="B100" s="6" t="str">
        <f>APPRENANTS!A89</f>
        <v>Proskills Institut</v>
      </c>
      <c r="C100" s="6" t="str">
        <f>APPRENANTS!C89</f>
        <v>Djody</v>
      </c>
      <c r="D100" s="6" t="str">
        <f>APPRENANTS!G89</f>
        <v>payé</v>
      </c>
      <c r="E100" s="6" t="str">
        <f>APPRENANTS!D89</f>
        <v>Développer son activité avec l'intelligence artificielle</v>
      </c>
      <c r="F100" s="6" t="str">
        <f>APPRENANTS!E89</f>
        <v>2026-05-25</v>
      </c>
      <c r="G100" s="6" t="str">
        <f>APPRENANTS!F89</f>
        <v>2026-06-05</v>
      </c>
      <c r="H100" s="6" t="str">
        <f>APPRENANTS!H89</f>
        <v>86 RUE francois mauriac 13010 MARSEILLE</v>
      </c>
      <c r="I100" s="6" t="str">
        <f>APPRENANTS!I89</f>
        <v>arnaudgras@hotmail.com</v>
      </c>
      <c r="J100" s="6" t="str">
        <f>APPRENANTS!J89</f>
        <v>0649516676</v>
      </c>
      <c r="K100" s="6" t="str">
        <f>APPRENANTS!K89</f>
        <v/>
      </c>
      <c r="L100" s="11"/>
      <c r="M100" s="11"/>
      <c r="N100" s="6" t="str">
        <f>'WEDOF - EXAMEN FINAL'!D89</f>
        <v>A faire</v>
      </c>
      <c r="O100" s="6" t="str">
        <f>'WEDOF - EXAMEN FINAL'!E89</f>
        <v>A faire</v>
      </c>
      <c r="P100" s="6" t="str">
        <f>'WEDOF - EXAMEN FINAL'!H89</f>
        <v/>
      </c>
      <c r="Q100" s="6" t="str">
        <f>'WEDOF - EXAMEN FINAL'!F89</f>
        <v>A faire</v>
      </c>
      <c r="R100" s="11"/>
      <c r="S100" s="6">
        <f>'PAIEMENTS &amp; COMMISSIONS'!I89</f>
        <v>1500</v>
      </c>
      <c r="T100" s="6" t="b">
        <f t="shared" si="2"/>
        <v>1</v>
      </c>
      <c r="U100" s="6" t="b">
        <f t="shared" si="3"/>
        <v>0</v>
      </c>
      <c r="V100" s="11" t="b">
        <f t="shared" ref="V100:W100" si="90">FALSE()</f>
        <v>0</v>
      </c>
      <c r="W100" s="11" t="b">
        <f t="shared" si="90"/>
        <v>0</v>
      </c>
      <c r="X100" s="10" t="str">
        <f>APPRENANTS!Y89</f>
        <v>Oui</v>
      </c>
    </row>
    <row r="101" ht="15.0" customHeight="1">
      <c r="A101" s="6" t="str">
        <f>APPRENANTS!B90</f>
        <v>GUILLOU Mael</v>
      </c>
      <c r="B101" s="6" t="str">
        <f>APPRENANTS!A90</f>
        <v>Proskills Institut</v>
      </c>
      <c r="C101" s="6" t="str">
        <f>APPRENANTS!C90</f>
        <v>Sabri</v>
      </c>
      <c r="D101" s="6" t="str">
        <f>APPRENANTS!G90</f>
        <v>FACTURE</v>
      </c>
      <c r="E101" s="6" t="str">
        <f>APPRENANTS!D90</f>
        <v>Réaliser les opérations comptables courantes d'une TPE</v>
      </c>
      <c r="F101" s="6" t="str">
        <f>APPRENANTS!E90</f>
        <v>2026-06-01</v>
      </c>
      <c r="G101" s="6" t="str">
        <f>APPRENANTS!F90</f>
        <v>2026-06-05</v>
      </c>
      <c r="H101" s="6" t="str">
        <f>APPRENANTS!H90</f>
        <v>46 RUE Résidence du bosquet 13127 VITROLLES</v>
      </c>
      <c r="I101" s="6" t="str">
        <f>APPRENANTS!I90</f>
        <v>maelguilloux@yahoo.fr</v>
      </c>
      <c r="J101" s="6" t="str">
        <f>APPRENANTS!J90</f>
        <v>0609475106</v>
      </c>
      <c r="K101" s="6" t="str">
        <f>APPRENANTS!K90</f>
        <v/>
      </c>
      <c r="L101" s="11"/>
      <c r="M101" s="11"/>
      <c r="N101" s="6" t="str">
        <f>'WEDOF - EXAMEN FINAL'!D90</f>
        <v>A faire</v>
      </c>
      <c r="O101" s="6" t="str">
        <f>'WEDOF - EXAMEN FINAL'!E90</f>
        <v>A faire</v>
      </c>
      <c r="P101" s="6" t="str">
        <f>'WEDOF - EXAMEN FINAL'!H90</f>
        <v/>
      </c>
      <c r="Q101" s="6" t="str">
        <f>'WEDOF - EXAMEN FINAL'!F90</f>
        <v>A faire</v>
      </c>
      <c r="R101" s="11"/>
      <c r="S101" s="6">
        <f>'PAIEMENTS &amp; COMMISSIONS'!I90</f>
        <v>1500</v>
      </c>
      <c r="T101" s="6" t="b">
        <f t="shared" si="2"/>
        <v>1</v>
      </c>
      <c r="U101" s="6" t="b">
        <f t="shared" si="3"/>
        <v>0</v>
      </c>
      <c r="V101" s="11" t="b">
        <f t="shared" ref="V101:W101" si="91">FALSE()</f>
        <v>0</v>
      </c>
      <c r="W101" s="11" t="b">
        <f t="shared" si="91"/>
        <v>0</v>
      </c>
      <c r="X101" s="10" t="str">
        <f>APPRENANTS!Y90</f>
        <v>Oui</v>
      </c>
    </row>
    <row r="102" ht="15.0" customHeight="1">
      <c r="A102" s="6" t="str">
        <f>APPRENANTS!B91</f>
        <v>GUILLOU Mael</v>
      </c>
      <c r="B102" s="6" t="str">
        <f>APPRENANTS!A91</f>
        <v>Proskills Institut</v>
      </c>
      <c r="C102" s="6" t="str">
        <f>APPRENANTS!C91</f>
        <v>Sabri</v>
      </c>
      <c r="D102" s="6" t="str">
        <f>APPRENANTS!G91</f>
        <v>payé</v>
      </c>
      <c r="E102" s="6" t="str">
        <f>APPRENANTS!D91</f>
        <v>Communiquer sur les réseaux sociaux pour promouvoir sa TPE</v>
      </c>
      <c r="F102" s="6" t="str">
        <f>APPRENANTS!E91</f>
        <v>2026-05-25</v>
      </c>
      <c r="G102" s="6" t="str">
        <f>APPRENANTS!F91</f>
        <v>2026-05-30</v>
      </c>
      <c r="H102" s="6" t="str">
        <f>APPRENANTS!H91</f>
        <v>46 RUE Résidence du bosquet 13127 VITROLLES</v>
      </c>
      <c r="I102" s="6" t="str">
        <f>APPRENANTS!I91</f>
        <v/>
      </c>
      <c r="J102" s="6" t="str">
        <f>APPRENANTS!J91</f>
        <v/>
      </c>
      <c r="K102" s="6" t="str">
        <f>APPRENANTS!K91</f>
        <v/>
      </c>
      <c r="L102" s="11"/>
      <c r="M102" s="11"/>
      <c r="N102" s="6" t="str">
        <f>'WEDOF - EXAMEN FINAL'!D91</f>
        <v>A faire</v>
      </c>
      <c r="O102" s="6" t="str">
        <f>'WEDOF - EXAMEN FINAL'!E91</f>
        <v>A faire</v>
      </c>
      <c r="P102" s="6" t="str">
        <f>'WEDOF - EXAMEN FINAL'!H91</f>
        <v/>
      </c>
      <c r="Q102" s="6" t="str">
        <f>'WEDOF - EXAMEN FINAL'!F91</f>
        <v>A faire</v>
      </c>
      <c r="R102" s="11"/>
      <c r="S102" s="6">
        <f>'PAIEMENTS &amp; COMMISSIONS'!I91</f>
        <v>1500</v>
      </c>
      <c r="T102" s="6" t="b">
        <f t="shared" si="2"/>
        <v>1</v>
      </c>
      <c r="U102" s="6" t="b">
        <f t="shared" si="3"/>
        <v>0</v>
      </c>
      <c r="V102" s="11" t="b">
        <f t="shared" ref="V102:W102" si="92">FALSE()</f>
        <v>0</v>
      </c>
      <c r="W102" s="11" t="b">
        <f t="shared" si="92"/>
        <v>0</v>
      </c>
      <c r="X102" s="10" t="str">
        <f>APPRENANTS!Y91</f>
        <v>Oui</v>
      </c>
    </row>
    <row r="103" ht="15.0" customHeight="1">
      <c r="A103" s="6" t="str">
        <f>APPRENANTS!B92</f>
        <v>AMEUR Kamel</v>
      </c>
      <c r="B103" s="6" t="str">
        <f>APPRENANTS!A92</f>
        <v>Proskills Institut</v>
      </c>
      <c r="C103" s="6" t="str">
        <f>APPRENANTS!C92</f>
        <v>Brian</v>
      </c>
      <c r="D103" s="6" t="str">
        <f>APPRENANTS!G92</f>
        <v>Accepté</v>
      </c>
      <c r="E103" s="6" t="str">
        <f>APPRENANTS!D92</f>
        <v>Réaliser les opérations comptables courantes d'une TPE</v>
      </c>
      <c r="F103" s="6" t="str">
        <f>APPRENANTS!E92</f>
        <v>2026-06-01</v>
      </c>
      <c r="G103" s="6" t="str">
        <f>APPRENANTS!F92</f>
        <v>2026-06-05</v>
      </c>
      <c r="H103" s="6" t="str">
        <f>APPRENANTS!H92</f>
        <v>12 RES Rue Arthur lamendin 62430 SALLAUMINES</v>
      </c>
      <c r="I103" s="6" t="str">
        <f>APPRENANTS!I92</f>
        <v>kamel621@outlook.fr</v>
      </c>
      <c r="J103" s="6" t="str">
        <f>APPRENANTS!J92</f>
        <v>0762665937</v>
      </c>
      <c r="K103" s="6" t="str">
        <f>APPRENANTS!K92</f>
        <v/>
      </c>
      <c r="L103" s="11"/>
      <c r="M103" s="11"/>
      <c r="N103" s="6" t="str">
        <f>'WEDOF - EXAMEN FINAL'!D92</f>
        <v>A faire</v>
      </c>
      <c r="O103" s="6" t="str">
        <f>'WEDOF - EXAMEN FINAL'!E92</f>
        <v>A faire</v>
      </c>
      <c r="P103" s="6" t="str">
        <f>'WEDOF - EXAMEN FINAL'!H92</f>
        <v/>
      </c>
      <c r="Q103" s="6" t="str">
        <f>'WEDOF - EXAMEN FINAL'!F92</f>
        <v>A faire</v>
      </c>
      <c r="R103" s="11"/>
      <c r="S103" s="6">
        <f>'PAIEMENTS &amp; COMMISSIONS'!I92</f>
        <v>1500</v>
      </c>
      <c r="T103" s="6" t="b">
        <f t="shared" si="2"/>
        <v>1</v>
      </c>
      <c r="U103" s="6" t="b">
        <f t="shared" si="3"/>
        <v>0</v>
      </c>
      <c r="V103" s="11" t="b">
        <f t="shared" ref="V103:W103" si="93">FALSE()</f>
        <v>0</v>
      </c>
      <c r="W103" s="11" t="b">
        <f t="shared" si="93"/>
        <v>0</v>
      </c>
      <c r="X103" s="10" t="str">
        <f>APPRENANTS!Y92</f>
        <v>Oui</v>
      </c>
    </row>
    <row r="104" ht="15.0" customHeight="1">
      <c r="A104" s="6" t="str">
        <f>APPRENANTS!B93</f>
        <v>AMEUR Kamel</v>
      </c>
      <c r="B104" s="6" t="str">
        <f>APPRENANTS!A93</f>
        <v>Proskills Institut</v>
      </c>
      <c r="C104" s="6" t="str">
        <f>APPRENANTS!C93</f>
        <v>Brian</v>
      </c>
      <c r="D104" s="6" t="str">
        <f>APPRENANTS!G93</f>
        <v>payé</v>
      </c>
      <c r="E104" s="6" t="str">
        <f>APPRENANTS!D93</f>
        <v>Communiquer sur les réseaux sociaux pour promouvoir sa TPE</v>
      </c>
      <c r="F104" s="6" t="str">
        <f>APPRENANTS!E93</f>
        <v>2026-05-25</v>
      </c>
      <c r="G104" s="6" t="str">
        <f>APPRENANTS!F93</f>
        <v>2026-05-30</v>
      </c>
      <c r="H104" s="6" t="str">
        <f>APPRENANTS!H93</f>
        <v>12 RES Rue Arthur lamendin 62430 SALLAUMINES</v>
      </c>
      <c r="I104" s="6" t="str">
        <f>APPRENANTS!I93</f>
        <v>kamel621@outlook.fr</v>
      </c>
      <c r="J104" s="6" t="str">
        <f>APPRENANTS!J93</f>
        <v/>
      </c>
      <c r="K104" s="6" t="str">
        <f>APPRENANTS!K93</f>
        <v/>
      </c>
      <c r="L104" s="11"/>
      <c r="M104" s="11"/>
      <c r="N104" s="6" t="str">
        <f>'WEDOF - EXAMEN FINAL'!D93</f>
        <v>A faire</v>
      </c>
      <c r="O104" s="6" t="str">
        <f>'WEDOF - EXAMEN FINAL'!E93</f>
        <v>A faire</v>
      </c>
      <c r="P104" s="6" t="str">
        <f>'WEDOF - EXAMEN FINAL'!H93</f>
        <v/>
      </c>
      <c r="Q104" s="6" t="str">
        <f>'WEDOF - EXAMEN FINAL'!F93</f>
        <v>A faire</v>
      </c>
      <c r="R104" s="11"/>
      <c r="S104" s="6">
        <f>'PAIEMENTS &amp; COMMISSIONS'!I93</f>
        <v>1500</v>
      </c>
      <c r="T104" s="6" t="b">
        <f t="shared" si="2"/>
        <v>1</v>
      </c>
      <c r="U104" s="6" t="b">
        <f t="shared" si="3"/>
        <v>0</v>
      </c>
      <c r="V104" s="11" t="b">
        <f t="shared" ref="V104:W104" si="94">FALSE()</f>
        <v>0</v>
      </c>
      <c r="W104" s="11" t="b">
        <f t="shared" si="94"/>
        <v>0</v>
      </c>
      <c r="X104" s="10" t="str">
        <f>APPRENANTS!Y93</f>
        <v>Oui</v>
      </c>
    </row>
    <row r="105" ht="15.0" customHeight="1">
      <c r="A105" s="6" t="str">
        <f>APPRENANTS!B94</f>
        <v>LAUZERO Caroline</v>
      </c>
      <c r="B105" s="6" t="str">
        <f>APPRENANTS!A94</f>
        <v>Proskills Institut</v>
      </c>
      <c r="C105" s="6" t="str">
        <f>APPRENANTS!C94</f>
        <v>Jules</v>
      </c>
      <c r="D105" s="6" t="str">
        <f>APPRENANTS!G94</f>
        <v>FACTURE</v>
      </c>
      <c r="E105" s="6" t="str">
        <f>APPRENANTS!D94</f>
        <v>Améliorer l'efficacité de sa TPE à l'aide de l'IA</v>
      </c>
      <c r="F105" s="6" t="str">
        <f>APPRENANTS!E94</f>
        <v>2026-06-08</v>
      </c>
      <c r="G105" s="6" t="str">
        <f>APPRENANTS!F94</f>
        <v>2026-06-13</v>
      </c>
      <c r="H105" s="6" t="str">
        <f>APPRENANTS!H94</f>
        <v>75 VMIN VIEUX CHEMIN D'ISTRES 13300 SALON DE PROVENCE</v>
      </c>
      <c r="I105" s="6" t="str">
        <f>APPRENANTS!I94</f>
        <v>cclauzero@gmail.com</v>
      </c>
      <c r="J105" s="6" t="str">
        <f>APPRENANTS!J94</f>
        <v>0647572721</v>
      </c>
      <c r="K105" s="6" t="str">
        <f>APPRENANTS!K94</f>
        <v/>
      </c>
      <c r="L105" s="11"/>
      <c r="M105" s="11"/>
      <c r="N105" s="6" t="str">
        <f>'WEDOF - EXAMEN FINAL'!D94</f>
        <v>A faire</v>
      </c>
      <c r="O105" s="6" t="str">
        <f>'WEDOF - EXAMEN FINAL'!E94</f>
        <v>Fait</v>
      </c>
      <c r="P105" s="6" t="str">
        <f>'WEDOF - EXAMEN FINAL'!H94</f>
        <v/>
      </c>
      <c r="Q105" s="6" t="str">
        <f>'WEDOF - EXAMEN FINAL'!F94</f>
        <v>A faire</v>
      </c>
      <c r="R105" s="11"/>
      <c r="S105" s="6">
        <f>'PAIEMENTS &amp; COMMISSIONS'!I94</f>
        <v>1500</v>
      </c>
      <c r="T105" s="6" t="b">
        <f t="shared" si="2"/>
        <v>1</v>
      </c>
      <c r="U105" s="6" t="b">
        <f t="shared" si="3"/>
        <v>0</v>
      </c>
      <c r="V105" s="11" t="b">
        <f t="shared" ref="V105:W105" si="95">FALSE()</f>
        <v>0</v>
      </c>
      <c r="W105" s="11" t="b">
        <f t="shared" si="95"/>
        <v>0</v>
      </c>
      <c r="X105" s="10" t="str">
        <f>APPRENANTS!Y94</f>
        <v>Oui</v>
      </c>
    </row>
    <row r="106" ht="15.0" customHeight="1">
      <c r="A106" s="6" t="str">
        <f>APPRENANTS!B95</f>
        <v>LAUZERO Caroline</v>
      </c>
      <c r="B106" s="6" t="str">
        <f>APPRENANTS!A95</f>
        <v>Proskills Institut</v>
      </c>
      <c r="C106" s="6" t="str">
        <f>APPRENANTS!C95</f>
        <v>Jules</v>
      </c>
      <c r="D106" s="6" t="str">
        <f>APPRENANTS!G95</f>
        <v>payé</v>
      </c>
      <c r="E106" s="6" t="str">
        <f>APPRENANTS!D95</f>
        <v>Communiquer sur les réseaux sociaux pour promouvoir sa TPE</v>
      </c>
      <c r="F106" s="6" t="str">
        <f>APPRENANTS!E95</f>
        <v>2026-05-25</v>
      </c>
      <c r="G106" s="6" t="str">
        <f>APPRENANTS!F95</f>
        <v>2026-05-30</v>
      </c>
      <c r="H106" s="6" t="str">
        <f>APPRENANTS!H95</f>
        <v>75 VMIN VIEUX CHEMIN D'ISTRES 13300 SALON DE PROVENCE</v>
      </c>
      <c r="I106" s="6" t="str">
        <f>APPRENANTS!I95</f>
        <v/>
      </c>
      <c r="J106" s="6" t="str">
        <f>APPRENANTS!J95</f>
        <v/>
      </c>
      <c r="K106" s="6" t="str">
        <f>APPRENANTS!K95</f>
        <v/>
      </c>
      <c r="L106" s="11"/>
      <c r="M106" s="11"/>
      <c r="N106" s="6" t="str">
        <f>'WEDOF - EXAMEN FINAL'!D95</f>
        <v>A faire</v>
      </c>
      <c r="O106" s="6" t="str">
        <f>'WEDOF - EXAMEN FINAL'!E95</f>
        <v>Fait</v>
      </c>
      <c r="P106" s="6" t="str">
        <f>'WEDOF - EXAMEN FINAL'!H95</f>
        <v/>
      </c>
      <c r="Q106" s="6" t="str">
        <f>'WEDOF - EXAMEN FINAL'!F95</f>
        <v>A faire</v>
      </c>
      <c r="R106" s="11"/>
      <c r="S106" s="6">
        <f>'PAIEMENTS &amp; COMMISSIONS'!I95</f>
        <v>1500</v>
      </c>
      <c r="T106" s="6" t="b">
        <f t="shared" si="2"/>
        <v>1</v>
      </c>
      <c r="U106" s="6" t="b">
        <f t="shared" si="3"/>
        <v>0</v>
      </c>
      <c r="V106" s="11" t="b">
        <f t="shared" ref="V106:W106" si="96">FALSE()</f>
        <v>0</v>
      </c>
      <c r="W106" s="11" t="b">
        <f t="shared" si="96"/>
        <v>0</v>
      </c>
      <c r="X106" s="10" t="str">
        <f>APPRENANTS!Y95</f>
        <v>Oui</v>
      </c>
    </row>
    <row r="107" ht="15.0" customHeight="1">
      <c r="A107" s="6" t="str">
        <f>APPRENANTS!B96</f>
        <v>LAUZERO Caroline</v>
      </c>
      <c r="B107" s="6" t="str">
        <f>APPRENANTS!A96</f>
        <v>Proskills Institut</v>
      </c>
      <c r="C107" s="6" t="str">
        <f>APPRENANTS!C96</f>
        <v>Jules</v>
      </c>
      <c r="D107" s="6" t="str">
        <f>APPRENANTS!G96</f>
        <v>FACTURE</v>
      </c>
      <c r="E107" s="6" t="str">
        <f>APPRENANTS!D96</f>
        <v>Réaliser les opérations comptables courantes d'une TPE</v>
      </c>
      <c r="F107" s="6" t="str">
        <f>APPRENANTS!E96</f>
        <v>2026-06-01</v>
      </c>
      <c r="G107" s="6" t="str">
        <f>APPRENANTS!F96</f>
        <v>2026-06-05</v>
      </c>
      <c r="H107" s="6" t="str">
        <f>APPRENANTS!H96</f>
        <v>75 VMIN VIEUX CHEMIN D'ISTRES 13300 SALON DE PROVENCE</v>
      </c>
      <c r="I107" s="6" t="str">
        <f>APPRENANTS!I96</f>
        <v/>
      </c>
      <c r="J107" s="6" t="str">
        <f>APPRENANTS!J96</f>
        <v/>
      </c>
      <c r="K107" s="6" t="str">
        <f>APPRENANTS!K96</f>
        <v/>
      </c>
      <c r="L107" s="11"/>
      <c r="M107" s="11"/>
      <c r="N107" s="6" t="str">
        <f>'WEDOF - EXAMEN FINAL'!D96</f>
        <v>A faire</v>
      </c>
      <c r="O107" s="6" t="str">
        <f>'WEDOF - EXAMEN FINAL'!E96</f>
        <v>Fait</v>
      </c>
      <c r="P107" s="6" t="str">
        <f>'WEDOF - EXAMEN FINAL'!H96</f>
        <v/>
      </c>
      <c r="Q107" s="6" t="str">
        <f>'WEDOF - EXAMEN FINAL'!F96</f>
        <v>A faire</v>
      </c>
      <c r="R107" s="11"/>
      <c r="S107" s="6">
        <f>'PAIEMENTS &amp; COMMISSIONS'!I96</f>
        <v>1500</v>
      </c>
      <c r="T107" s="6" t="b">
        <f t="shared" si="2"/>
        <v>1</v>
      </c>
      <c r="U107" s="6" t="b">
        <f t="shared" si="3"/>
        <v>0</v>
      </c>
      <c r="V107" s="11" t="b">
        <f t="shared" ref="V107:W107" si="97">FALSE()</f>
        <v>0</v>
      </c>
      <c r="W107" s="11" t="b">
        <f t="shared" si="97"/>
        <v>0</v>
      </c>
      <c r="X107" s="10" t="str">
        <f>APPRENANTS!Y96</f>
        <v>Oui</v>
      </c>
    </row>
    <row r="108" ht="15.0" customHeight="1">
      <c r="A108" s="6" t="str">
        <f>APPRENANTS!B97</f>
        <v>HUGARD Jose</v>
      </c>
      <c r="B108" s="6" t="str">
        <f>APPRENANTS!A97</f>
        <v>Proskills Institut</v>
      </c>
      <c r="C108" s="6" t="str">
        <f>APPRENANTS!C97</f>
        <v>Brian</v>
      </c>
      <c r="D108" s="6" t="str">
        <f>APPRENANTS!G97</f>
        <v>FACTURE</v>
      </c>
      <c r="E108" s="6" t="str">
        <f>APPRENANTS!D97</f>
        <v>Améliorer l'efficacité de sa TPE à l'aide de l'IA</v>
      </c>
      <c r="F108" s="6" t="str">
        <f>APPRENANTS!E97</f>
        <v>2026-06-08</v>
      </c>
      <c r="G108" s="6" t="str">
        <f>APPRENANTS!F97</f>
        <v>2026-06-13</v>
      </c>
      <c r="H108" s="6" t="str">
        <f>APPRENANTS!H97</f>
        <v>191 RUE Voisin 62110 HENIN BEAUMONT</v>
      </c>
      <c r="I108" s="6" t="str">
        <f>APPRENANTS!I97</f>
        <v>jose.hugard62110@gmail.com</v>
      </c>
      <c r="J108" s="6" t="str">
        <f>APPRENANTS!J97</f>
        <v>0781329761</v>
      </c>
      <c r="K108" s="6" t="str">
        <f>APPRENANTS!K97</f>
        <v/>
      </c>
      <c r="L108" s="11"/>
      <c r="M108" s="11"/>
      <c r="N108" s="6" t="str">
        <f>'WEDOF - EXAMEN FINAL'!D97</f>
        <v>A faire</v>
      </c>
      <c r="O108" s="6" t="str">
        <f>'WEDOF - EXAMEN FINAL'!E97</f>
        <v>Fait</v>
      </c>
      <c r="P108" s="6" t="str">
        <f>'WEDOF - EXAMEN FINAL'!H97</f>
        <v/>
      </c>
      <c r="Q108" s="6" t="str">
        <f>'WEDOF - EXAMEN FINAL'!F97</f>
        <v>A faire</v>
      </c>
      <c r="R108" s="11"/>
      <c r="S108" s="6">
        <f>'PAIEMENTS &amp; COMMISSIONS'!I97</f>
        <v>1500</v>
      </c>
      <c r="T108" s="6" t="b">
        <f t="shared" si="2"/>
        <v>1</v>
      </c>
      <c r="U108" s="6" t="b">
        <f t="shared" si="3"/>
        <v>0</v>
      </c>
      <c r="V108" s="11" t="b">
        <f t="shared" ref="V108:W108" si="98">FALSE()</f>
        <v>0</v>
      </c>
      <c r="W108" s="11" t="b">
        <f t="shared" si="98"/>
        <v>0</v>
      </c>
      <c r="X108" s="10" t="str">
        <f>APPRENANTS!Y97</f>
        <v>Oui</v>
      </c>
    </row>
    <row r="109" ht="15.0" customHeight="1">
      <c r="A109" s="6" t="str">
        <f>APPRENANTS!B98</f>
        <v>HUGARD Jose</v>
      </c>
      <c r="B109" s="6" t="str">
        <f>APPRENANTS!A98</f>
        <v>Proskills Institut</v>
      </c>
      <c r="C109" s="6" t="str">
        <f>APPRENANTS!C98</f>
        <v>Brian</v>
      </c>
      <c r="D109" s="6" t="str">
        <f>APPRENANTS!G98</f>
        <v>payé</v>
      </c>
      <c r="E109" s="6" t="str">
        <f>APPRENANTS!D98</f>
        <v>Communiquer sur les réseaux sociaux pour promouvoir sa TPE</v>
      </c>
      <c r="F109" s="6" t="str">
        <f>APPRENANTS!E98</f>
        <v>2026-05-25</v>
      </c>
      <c r="G109" s="6" t="str">
        <f>APPRENANTS!F98</f>
        <v>2026-05-30</v>
      </c>
      <c r="H109" s="6" t="str">
        <f>APPRENANTS!H98</f>
        <v>191 RUE Voisin 62110 HENIN BEAUMONT</v>
      </c>
      <c r="I109" s="6" t="str">
        <f>APPRENANTS!I98</f>
        <v/>
      </c>
      <c r="J109" s="6" t="str">
        <f>APPRENANTS!J98</f>
        <v/>
      </c>
      <c r="K109" s="6" t="str">
        <f>APPRENANTS!K98</f>
        <v/>
      </c>
      <c r="L109" s="11"/>
      <c r="M109" s="11"/>
      <c r="N109" s="6" t="str">
        <f>'WEDOF - EXAMEN FINAL'!D98</f>
        <v>A faire</v>
      </c>
      <c r="O109" s="6" t="str">
        <f>'WEDOF - EXAMEN FINAL'!E98</f>
        <v>Fait</v>
      </c>
      <c r="P109" s="6" t="str">
        <f>'WEDOF - EXAMEN FINAL'!H98</f>
        <v/>
      </c>
      <c r="Q109" s="6" t="str">
        <f>'WEDOF - EXAMEN FINAL'!F98</f>
        <v>A faire</v>
      </c>
      <c r="R109" s="11"/>
      <c r="S109" s="6">
        <f>'PAIEMENTS &amp; COMMISSIONS'!I98</f>
        <v>1500</v>
      </c>
      <c r="T109" s="6" t="b">
        <f t="shared" si="2"/>
        <v>1</v>
      </c>
      <c r="U109" s="6" t="b">
        <f t="shared" si="3"/>
        <v>0</v>
      </c>
      <c r="V109" s="11" t="b">
        <f t="shared" ref="V109:W109" si="99">FALSE()</f>
        <v>0</v>
      </c>
      <c r="W109" s="11" t="b">
        <f t="shared" si="99"/>
        <v>0</v>
      </c>
      <c r="X109" s="10" t="str">
        <f>APPRENANTS!Y98</f>
        <v>Oui</v>
      </c>
    </row>
    <row r="110" ht="15.0" customHeight="1">
      <c r="A110" s="6" t="str">
        <f>APPRENANTS!B99</f>
        <v>HUGARD Jose</v>
      </c>
      <c r="B110" s="6" t="str">
        <f>APPRENANTS!A99</f>
        <v>Proskills Institut</v>
      </c>
      <c r="C110" s="6" t="str">
        <f>APPRENANTS!C99</f>
        <v>Brian</v>
      </c>
      <c r="D110" s="6" t="str">
        <f>APPRENANTS!G99</f>
        <v>FACTURE</v>
      </c>
      <c r="E110" s="6" t="str">
        <f>APPRENANTS!D99</f>
        <v>Réaliser les opérations comptables courantes d'une TPE</v>
      </c>
      <c r="F110" s="6" t="str">
        <f>APPRENANTS!E99</f>
        <v>2026-06-01</v>
      </c>
      <c r="G110" s="6" t="str">
        <f>APPRENANTS!F99</f>
        <v>2026-06-05</v>
      </c>
      <c r="H110" s="6" t="str">
        <f>APPRENANTS!H99</f>
        <v>191 RUE Voisin 62110 HENIN BEAUMONT</v>
      </c>
      <c r="I110" s="6" t="str">
        <f>APPRENANTS!I99</f>
        <v/>
      </c>
      <c r="J110" s="6" t="str">
        <f>APPRENANTS!J99</f>
        <v/>
      </c>
      <c r="K110" s="6" t="str">
        <f>APPRENANTS!K99</f>
        <v/>
      </c>
      <c r="L110" s="11"/>
      <c r="M110" s="11"/>
      <c r="N110" s="6" t="str">
        <f>'WEDOF - EXAMEN FINAL'!D99</f>
        <v>A faire</v>
      </c>
      <c r="O110" s="6" t="str">
        <f>'WEDOF - EXAMEN FINAL'!E99</f>
        <v>Fait</v>
      </c>
      <c r="P110" s="6" t="str">
        <f>'WEDOF - EXAMEN FINAL'!H99</f>
        <v/>
      </c>
      <c r="Q110" s="6" t="str">
        <f>'WEDOF - EXAMEN FINAL'!F99</f>
        <v>A faire</v>
      </c>
      <c r="R110" s="11"/>
      <c r="S110" s="6">
        <f>'PAIEMENTS &amp; COMMISSIONS'!I99</f>
        <v>1500</v>
      </c>
      <c r="T110" s="6" t="b">
        <f t="shared" si="2"/>
        <v>1</v>
      </c>
      <c r="U110" s="6" t="b">
        <f t="shared" si="3"/>
        <v>0</v>
      </c>
      <c r="V110" s="11" t="b">
        <f t="shared" ref="V110:W110" si="100">FALSE()</f>
        <v>0</v>
      </c>
      <c r="W110" s="11" t="b">
        <f t="shared" si="100"/>
        <v>0</v>
      </c>
      <c r="X110" s="10" t="str">
        <f>APPRENANTS!Y99</f>
        <v>Oui</v>
      </c>
    </row>
    <row r="111" ht="15.0" customHeight="1">
      <c r="A111" s="6" t="str">
        <f>APPRENANTS!B100</f>
        <v>GILLY Laurent</v>
      </c>
      <c r="B111" s="6" t="str">
        <f>APPRENANTS!A100</f>
        <v>Proskills Institut</v>
      </c>
      <c r="C111" s="6" t="str">
        <f>APPRENANTS!C100</f>
        <v>Jules</v>
      </c>
      <c r="D111" s="6" t="str">
        <f>APPRENANTS!G100</f>
        <v>FACTURE</v>
      </c>
      <c r="E111" s="6" t="str">
        <f>APPRENANTS!D100</f>
        <v>Améliorer l'efficacité de sa TPE à l'aide de l'IA</v>
      </c>
      <c r="F111" s="6" t="str">
        <f>APPRENANTS!E100</f>
        <v>2026-06-08</v>
      </c>
      <c r="G111" s="6" t="str">
        <f>APPRENANTS!F100</f>
        <v>2026-06-13</v>
      </c>
      <c r="H111" s="6" t="str">
        <f>APPRENANTS!H100</f>
        <v>190 RTE petite routes des milles 13290 AIX EN PROVENCE</v>
      </c>
      <c r="I111" s="6" t="str">
        <f>APPRENANTS!I100</f>
        <v>laurent@les-garcons-formations.fr</v>
      </c>
      <c r="J111" s="6" t="str">
        <f>APPRENANTS!J100</f>
        <v>0761193855</v>
      </c>
      <c r="K111" s="6" t="str">
        <f>APPRENANTS!K100</f>
        <v/>
      </c>
      <c r="L111" s="11"/>
      <c r="M111" s="11"/>
      <c r="N111" s="6" t="str">
        <f>'WEDOF - EXAMEN FINAL'!D100</f>
        <v>A faire</v>
      </c>
      <c r="O111" s="6" t="str">
        <f>'WEDOF - EXAMEN FINAL'!E100</f>
        <v>A faire</v>
      </c>
      <c r="P111" s="6" t="str">
        <f>'WEDOF - EXAMEN FINAL'!H100</f>
        <v/>
      </c>
      <c r="Q111" s="6" t="str">
        <f>'WEDOF - EXAMEN FINAL'!F100</f>
        <v>A faire</v>
      </c>
      <c r="R111" s="11"/>
      <c r="S111" s="6">
        <f>'PAIEMENTS &amp; COMMISSIONS'!I100</f>
        <v>1500</v>
      </c>
      <c r="T111" s="6" t="b">
        <f t="shared" si="2"/>
        <v>1</v>
      </c>
      <c r="U111" s="6" t="b">
        <f t="shared" si="3"/>
        <v>0</v>
      </c>
      <c r="V111" s="11" t="b">
        <f t="shared" ref="V111:W111" si="101">FALSE()</f>
        <v>0</v>
      </c>
      <c r="W111" s="11" t="b">
        <f t="shared" si="101"/>
        <v>0</v>
      </c>
      <c r="X111" s="10" t="str">
        <f>APPRENANTS!Y100</f>
        <v>Oui</v>
      </c>
    </row>
    <row r="112" ht="15.0" customHeight="1">
      <c r="A112" s="6" t="str">
        <f>APPRENANTS!B101</f>
        <v>GILLY Laurent</v>
      </c>
      <c r="B112" s="6" t="str">
        <f>APPRENANTS!A101</f>
        <v>Proskills Institut</v>
      </c>
      <c r="C112" s="6" t="str">
        <f>APPRENANTS!C101</f>
        <v>Jules</v>
      </c>
      <c r="D112" s="6" t="str">
        <f>APPRENANTS!G101</f>
        <v>payé</v>
      </c>
      <c r="E112" s="6" t="str">
        <f>APPRENANTS!D101</f>
        <v>Communiquer sur les réseaux sociaux pour promouvoir sa TPE</v>
      </c>
      <c r="F112" s="6" t="str">
        <f>APPRENANTS!E101</f>
        <v>2026-05-25</v>
      </c>
      <c r="G112" s="6" t="str">
        <f>APPRENANTS!F101</f>
        <v>2026-05-30</v>
      </c>
      <c r="H112" s="6" t="str">
        <f>APPRENANTS!H101</f>
        <v>190 RTE petite routes des milles 13290 AIX EN PROVENCE</v>
      </c>
      <c r="I112" s="6" t="str">
        <f>APPRENANTS!I101</f>
        <v/>
      </c>
      <c r="J112" s="6" t="str">
        <f>APPRENANTS!J101</f>
        <v/>
      </c>
      <c r="K112" s="6" t="str">
        <f>APPRENANTS!K101</f>
        <v/>
      </c>
      <c r="L112" s="11"/>
      <c r="M112" s="11"/>
      <c r="N112" s="6" t="str">
        <f>'WEDOF - EXAMEN FINAL'!D101</f>
        <v>A faire</v>
      </c>
      <c r="O112" s="6" t="str">
        <f>'WEDOF - EXAMEN FINAL'!E101</f>
        <v>A faire</v>
      </c>
      <c r="P112" s="6" t="str">
        <f>'WEDOF - EXAMEN FINAL'!H101</f>
        <v/>
      </c>
      <c r="Q112" s="6" t="str">
        <f>'WEDOF - EXAMEN FINAL'!F101</f>
        <v>A faire</v>
      </c>
      <c r="R112" s="11"/>
      <c r="S112" s="6">
        <f>'PAIEMENTS &amp; COMMISSIONS'!I101</f>
        <v>1500</v>
      </c>
      <c r="T112" s="6" t="b">
        <f t="shared" si="2"/>
        <v>1</v>
      </c>
      <c r="U112" s="6" t="b">
        <f t="shared" si="3"/>
        <v>0</v>
      </c>
      <c r="V112" s="11" t="b">
        <f t="shared" ref="V112:W112" si="102">FALSE()</f>
        <v>0</v>
      </c>
      <c r="W112" s="11" t="b">
        <f t="shared" si="102"/>
        <v>0</v>
      </c>
      <c r="X112" s="10" t="str">
        <f>APPRENANTS!Y101</f>
        <v>Oui</v>
      </c>
    </row>
    <row r="113" ht="15.0" customHeight="1">
      <c r="A113" s="6" t="str">
        <f>APPRENANTS!B102</f>
        <v>Mona Bahar</v>
      </c>
      <c r="B113" s="6" t="str">
        <f>APPRENANTS!A102</f>
        <v>Proskills Institut</v>
      </c>
      <c r="C113" s="6" t="str">
        <f>APPRENANTS!C102</f>
        <v>frere karim</v>
      </c>
      <c r="D113" s="6" t="str">
        <f>APPRENANTS!G102</f>
        <v>payé</v>
      </c>
      <c r="E113" s="6" t="str">
        <f>APPRENANTS!D102</f>
        <v>Développer son activité avec l'intelligence artificielle</v>
      </c>
      <c r="F113" s="6" t="str">
        <f>APPRENANTS!E102</f>
        <v>2026-05-26</v>
      </c>
      <c r="G113" s="6" t="str">
        <f>APPRENANTS!F102</f>
        <v>2026-06-05</v>
      </c>
      <c r="H113" s="6" t="str">
        <f>APPRENANTS!H102</f>
        <v>2 RUE André Calvin 13700 MARIGNANE</v>
      </c>
      <c r="I113" s="6" t="str">
        <f>APPRENANTS!I102</f>
        <v>monabahar@outlook.fr</v>
      </c>
      <c r="J113" s="6" t="str">
        <f>APPRENANTS!J102</f>
        <v>0783626910</v>
      </c>
      <c r="K113" s="6" t="str">
        <f>APPRENANTS!K102</f>
        <v/>
      </c>
      <c r="L113" s="11"/>
      <c r="M113" s="11"/>
      <c r="N113" s="6" t="str">
        <f>'WEDOF - EXAMEN FINAL'!D102</f>
        <v>A faire</v>
      </c>
      <c r="O113" s="6" t="str">
        <f>'WEDOF - EXAMEN FINAL'!E102</f>
        <v>A faire</v>
      </c>
      <c r="P113" s="6" t="str">
        <f>'WEDOF - EXAMEN FINAL'!H102</f>
        <v/>
      </c>
      <c r="Q113" s="6" t="str">
        <f>'WEDOF - EXAMEN FINAL'!F102</f>
        <v>A faire</v>
      </c>
      <c r="R113" s="11"/>
      <c r="S113" s="6">
        <f>'PAIEMENTS &amp; COMMISSIONS'!I102</f>
        <v>1500</v>
      </c>
      <c r="T113" s="6" t="b">
        <f t="shared" si="2"/>
        <v>1</v>
      </c>
      <c r="U113" s="6" t="b">
        <f t="shared" si="3"/>
        <v>0</v>
      </c>
      <c r="V113" s="11" t="b">
        <f t="shared" ref="V113:W113" si="103">FALSE()</f>
        <v>0</v>
      </c>
      <c r="W113" s="11" t="b">
        <f t="shared" si="103"/>
        <v>0</v>
      </c>
      <c r="X113" s="10" t="str">
        <f>APPRENANTS!Y102</f>
        <v>Oui</v>
      </c>
    </row>
    <row r="114" ht="15.0" customHeight="1">
      <c r="A114" s="6" t="str">
        <f>APPRENANTS!B103</f>
        <v>REIG Stephane</v>
      </c>
      <c r="B114" s="6" t="str">
        <f>APPRENANTS!A103</f>
        <v>Proskills Institut</v>
      </c>
      <c r="C114" s="6" t="str">
        <f>APPRENANTS!C103</f>
        <v>GRAS</v>
      </c>
      <c r="D114" s="6" t="str">
        <f>APPRENANTS!G103</f>
        <v>FACTURE</v>
      </c>
      <c r="E114" s="6" t="str">
        <f>APPRENANTS!D103</f>
        <v>Améliorer l'efficacité de sa TPE à l'aide de l'IA</v>
      </c>
      <c r="F114" s="6" t="str">
        <f>APPRENANTS!E103</f>
        <v>2026-06-08</v>
      </c>
      <c r="G114" s="6" t="str">
        <f>APPRENANTS!F103</f>
        <v>2026-06-13</v>
      </c>
      <c r="H114" s="6" t="str">
        <f>APPRENANTS!H103</f>
        <v>15 BD du vaissaux 13009 MARSEILLE</v>
      </c>
      <c r="I114" s="6" t="str">
        <f>APPRENANTS!I103</f>
        <v>stephane.reig1@orange.fr</v>
      </c>
      <c r="J114" s="6" t="str">
        <f>APPRENANTS!J103</f>
        <v>0615817731</v>
      </c>
      <c r="K114" s="6" t="str">
        <f>APPRENANTS!K103</f>
        <v/>
      </c>
      <c r="L114" s="11"/>
      <c r="M114" s="11"/>
      <c r="N114" s="6" t="str">
        <f>'WEDOF - EXAMEN FINAL'!D103</f>
        <v>A faire</v>
      </c>
      <c r="O114" s="6" t="str">
        <f>'WEDOF - EXAMEN FINAL'!E103</f>
        <v>A faire</v>
      </c>
      <c r="P114" s="6" t="str">
        <f>'WEDOF - EXAMEN FINAL'!H103</f>
        <v/>
      </c>
      <c r="Q114" s="6" t="str">
        <f>'WEDOF - EXAMEN FINAL'!F103</f>
        <v>A faire</v>
      </c>
      <c r="R114" s="11"/>
      <c r="S114" s="6">
        <f>'PAIEMENTS &amp; COMMISSIONS'!I103</f>
        <v>1500</v>
      </c>
      <c r="T114" s="6" t="b">
        <f t="shared" si="2"/>
        <v>1</v>
      </c>
      <c r="U114" s="6" t="b">
        <f t="shared" si="3"/>
        <v>0</v>
      </c>
      <c r="V114" s="11" t="b">
        <f t="shared" ref="V114:W114" si="104">FALSE()</f>
        <v>0</v>
      </c>
      <c r="W114" s="11" t="b">
        <f t="shared" si="104"/>
        <v>0</v>
      </c>
      <c r="X114" s="10" t="str">
        <f>APPRENANTS!Y103</f>
        <v>Oui</v>
      </c>
    </row>
    <row r="115" ht="15.0" customHeight="1">
      <c r="A115" s="6" t="str">
        <f>APPRENANTS!B104</f>
        <v>REIG Stephane</v>
      </c>
      <c r="B115" s="6" t="str">
        <f>APPRENANTS!A104</f>
        <v>Proskills Institut</v>
      </c>
      <c r="C115" s="6" t="str">
        <f>APPRENANTS!C104</f>
        <v>GRAS</v>
      </c>
      <c r="D115" s="6" t="str">
        <f>APPRENANTS!G104</f>
        <v>FACTURE</v>
      </c>
      <c r="E115" s="6" t="str">
        <f>APPRENANTS!D104</f>
        <v>Communiquer sur les réseaux sociaux pour promouvoir sa TPE</v>
      </c>
      <c r="F115" s="6" t="str">
        <f>APPRENANTS!E104</f>
        <v>2026-06-15</v>
      </c>
      <c r="G115" s="6" t="str">
        <f>APPRENANTS!F104</f>
        <v>2026-06-20</v>
      </c>
      <c r="H115" s="6" t="str">
        <f>APPRENANTS!H104</f>
        <v>15 BD du vaissaux 13009 MARSEILLE</v>
      </c>
      <c r="I115" s="6" t="str">
        <f>APPRENANTS!I104</f>
        <v/>
      </c>
      <c r="J115" s="6" t="str">
        <f>APPRENANTS!J104</f>
        <v/>
      </c>
      <c r="K115" s="6" t="str">
        <f>APPRENANTS!K104</f>
        <v/>
      </c>
      <c r="L115" s="11"/>
      <c r="M115" s="11"/>
      <c r="N115" s="6" t="str">
        <f>'WEDOF - EXAMEN FINAL'!D104</f>
        <v>A faire</v>
      </c>
      <c r="O115" s="6" t="str">
        <f>'WEDOF - EXAMEN FINAL'!E104</f>
        <v>A faire</v>
      </c>
      <c r="P115" s="6" t="str">
        <f>'WEDOF - EXAMEN FINAL'!H104</f>
        <v/>
      </c>
      <c r="Q115" s="6" t="str">
        <f>'WEDOF - EXAMEN FINAL'!F104</f>
        <v>A faire</v>
      </c>
      <c r="R115" s="11"/>
      <c r="S115" s="6">
        <f>'PAIEMENTS &amp; COMMISSIONS'!I104</f>
        <v>1500</v>
      </c>
      <c r="T115" s="6" t="b">
        <f t="shared" si="2"/>
        <v>1</v>
      </c>
      <c r="U115" s="6" t="b">
        <f t="shared" si="3"/>
        <v>0</v>
      </c>
      <c r="V115" s="11" t="b">
        <f t="shared" ref="V115:W115" si="105">FALSE()</f>
        <v>0</v>
      </c>
      <c r="W115" s="11" t="b">
        <f t="shared" si="105"/>
        <v>0</v>
      </c>
      <c r="X115" s="10" t="str">
        <f>APPRENANTS!Y104</f>
        <v>Oui</v>
      </c>
    </row>
    <row r="116" ht="15.0" customHeight="1">
      <c r="A116" s="6" t="str">
        <f>APPRENANTS!B105</f>
        <v>BAHAR Achraf</v>
      </c>
      <c r="B116" s="6" t="str">
        <f>APPRENANTS!A105</f>
        <v>Proskills Institut</v>
      </c>
      <c r="C116" s="6" t="str">
        <f>APPRENANTS!C105</f>
        <v>frere karim</v>
      </c>
      <c r="D116" s="6" t="str">
        <f>APPRENANTS!G105</f>
        <v>FACTURE</v>
      </c>
      <c r="E116" s="6" t="str">
        <f>APPRENANTS!D105</f>
        <v>Améliorer l'efficacité de sa TPE à l'aide de l'IA</v>
      </c>
      <c r="F116" s="6" t="str">
        <f>APPRENANTS!E105</f>
        <v>2026-06-08</v>
      </c>
      <c r="G116" s="6" t="str">
        <f>APPRENANTS!F105</f>
        <v>2026-06-13</v>
      </c>
      <c r="H116" s="6" t="str">
        <f>APPRENANTS!H105</f>
        <v>9 IMP Impasse du gourg 13127 VITROLLES</v>
      </c>
      <c r="I116" s="6" t="str">
        <f>APPRENANTS!I105</f>
        <v>achraf.baharp@gmail.com</v>
      </c>
      <c r="J116" s="6" t="str">
        <f>APPRENANTS!J105</f>
        <v>0668689045</v>
      </c>
      <c r="K116" s="6" t="str">
        <f>APPRENANTS!K105</f>
        <v/>
      </c>
      <c r="L116" s="11"/>
      <c r="M116" s="11"/>
      <c r="N116" s="6" t="str">
        <f>'WEDOF - EXAMEN FINAL'!D105</f>
        <v>A faire</v>
      </c>
      <c r="O116" s="6" t="str">
        <f>'WEDOF - EXAMEN FINAL'!E105</f>
        <v>A faire</v>
      </c>
      <c r="P116" s="6" t="str">
        <f>'WEDOF - EXAMEN FINAL'!H105</f>
        <v/>
      </c>
      <c r="Q116" s="6" t="str">
        <f>'WEDOF - EXAMEN FINAL'!F105</f>
        <v>A faire</v>
      </c>
      <c r="R116" s="11"/>
      <c r="S116" s="6">
        <f>'PAIEMENTS &amp; COMMISSIONS'!I105</f>
        <v>1500</v>
      </c>
      <c r="T116" s="6" t="b">
        <f t="shared" si="2"/>
        <v>1</v>
      </c>
      <c r="U116" s="6" t="b">
        <f t="shared" si="3"/>
        <v>0</v>
      </c>
      <c r="V116" s="11" t="b">
        <f t="shared" ref="V116:W116" si="106">FALSE()</f>
        <v>0</v>
      </c>
      <c r="W116" s="11" t="b">
        <f t="shared" si="106"/>
        <v>0</v>
      </c>
      <c r="X116" s="10" t="str">
        <f>APPRENANTS!Y105</f>
        <v>Oui</v>
      </c>
    </row>
    <row r="117" ht="15.0" customHeight="1">
      <c r="A117" s="6" t="str">
        <f>APPRENANTS!B106</f>
        <v>BAHAR Achraf</v>
      </c>
      <c r="B117" s="6" t="str">
        <f>APPRENANTS!A106</f>
        <v>Proskills Institut</v>
      </c>
      <c r="C117" s="6" t="str">
        <f>APPRENANTS!C106</f>
        <v>frere karim</v>
      </c>
      <c r="D117" s="6" t="str">
        <f>APPRENANTS!G106</f>
        <v>FACTURE</v>
      </c>
      <c r="E117" s="6" t="str">
        <f>APPRENANTS!D106</f>
        <v>Communiquer sur les réseaux sociaux pour promouvoir sa TPE</v>
      </c>
      <c r="F117" s="6" t="str">
        <f>APPRENANTS!E106</f>
        <v>2026-06-15</v>
      </c>
      <c r="G117" s="6" t="str">
        <f>APPRENANTS!F106</f>
        <v>2026-06-20</v>
      </c>
      <c r="H117" s="6" t="str">
        <f>APPRENANTS!H106</f>
        <v>9 IMP Impasse du gourg 13127 VITROLLES</v>
      </c>
      <c r="I117" s="6" t="str">
        <f>APPRENANTS!I106</f>
        <v/>
      </c>
      <c r="J117" s="6" t="str">
        <f>APPRENANTS!J106</f>
        <v/>
      </c>
      <c r="K117" s="6" t="str">
        <f>APPRENANTS!K106</f>
        <v/>
      </c>
      <c r="L117" s="11"/>
      <c r="M117" s="11"/>
      <c r="N117" s="6" t="str">
        <f>'WEDOF - EXAMEN FINAL'!D106</f>
        <v>A faire</v>
      </c>
      <c r="O117" s="6" t="str">
        <f>'WEDOF - EXAMEN FINAL'!E106</f>
        <v>A faire</v>
      </c>
      <c r="P117" s="6" t="str">
        <f>'WEDOF - EXAMEN FINAL'!H106</f>
        <v/>
      </c>
      <c r="Q117" s="6" t="str">
        <f>'WEDOF - EXAMEN FINAL'!F106</f>
        <v>A faire</v>
      </c>
      <c r="R117" s="11"/>
      <c r="S117" s="6">
        <f>'PAIEMENTS &amp; COMMISSIONS'!I106</f>
        <v>1500</v>
      </c>
      <c r="T117" s="6" t="b">
        <f t="shared" si="2"/>
        <v>1</v>
      </c>
      <c r="U117" s="6" t="b">
        <f t="shared" si="3"/>
        <v>0</v>
      </c>
      <c r="V117" s="11" t="b">
        <f t="shared" ref="V117:W117" si="107">FALSE()</f>
        <v>0</v>
      </c>
      <c r="W117" s="11" t="b">
        <f t="shared" si="107"/>
        <v>0</v>
      </c>
      <c r="X117" s="10" t="str">
        <f>APPRENANTS!Y106</f>
        <v>Oui</v>
      </c>
    </row>
    <row r="118" ht="15.0" customHeight="1">
      <c r="A118" s="6" t="str">
        <f>APPRENANTS!B107</f>
        <v>LAREF Faouzi</v>
      </c>
      <c r="B118" s="6" t="str">
        <f>APPRENANTS!A107</f>
        <v>Proskills Institut</v>
      </c>
      <c r="C118" s="6" t="str">
        <f>APPRENANTS!C107</f>
        <v>Nedjma</v>
      </c>
      <c r="D118" s="6" t="str">
        <f>APPRENANTS!G107</f>
        <v>FACTURE</v>
      </c>
      <c r="E118" s="6" t="str">
        <f>APPRENANTS!D107</f>
        <v>Améliorer l'efficacité de sa TPE à l'aide de l'IA</v>
      </c>
      <c r="F118" s="6" t="str">
        <f>APPRENANTS!E107</f>
        <v>2026-06-08</v>
      </c>
      <c r="G118" s="6" t="str">
        <f>APPRENANTS!F107</f>
        <v>2026-06-13</v>
      </c>
      <c r="H118" s="6" t="str">
        <f>APPRENANTS!H107</f>
        <v>350 BD National 13003 MARSEILLE</v>
      </c>
      <c r="I118" s="6" t="str">
        <f>APPRENANTS!I107</f>
        <v>laref.ferroudja@yahoo.fr</v>
      </c>
      <c r="J118" s="6" t="str">
        <f>APPRENANTS!J107</f>
        <v>0634554074</v>
      </c>
      <c r="K118" s="6" t="str">
        <f>APPRENANTS!K107</f>
        <v/>
      </c>
      <c r="L118" s="11"/>
      <c r="M118" s="11"/>
      <c r="N118" s="6" t="str">
        <f>'WEDOF - EXAMEN FINAL'!D107</f>
        <v>A faire</v>
      </c>
      <c r="O118" s="6" t="str">
        <f>'WEDOF - EXAMEN FINAL'!E107</f>
        <v>A faire</v>
      </c>
      <c r="P118" s="6" t="str">
        <f>'WEDOF - EXAMEN FINAL'!H107</f>
        <v/>
      </c>
      <c r="Q118" s="6" t="str">
        <f>'WEDOF - EXAMEN FINAL'!F107</f>
        <v>A faire</v>
      </c>
      <c r="R118" s="11"/>
      <c r="S118" s="6">
        <f>'PAIEMENTS &amp; COMMISSIONS'!I107</f>
        <v>1500</v>
      </c>
      <c r="T118" s="6" t="b">
        <f t="shared" si="2"/>
        <v>1</v>
      </c>
      <c r="U118" s="6" t="b">
        <f t="shared" si="3"/>
        <v>0</v>
      </c>
      <c r="V118" s="11" t="b">
        <f t="shared" ref="V118:W118" si="108">FALSE()</f>
        <v>0</v>
      </c>
      <c r="W118" s="11" t="b">
        <f t="shared" si="108"/>
        <v>0</v>
      </c>
      <c r="X118" s="10" t="str">
        <f>APPRENANTS!Y107</f>
        <v>Oui</v>
      </c>
    </row>
    <row r="119" ht="15.0" customHeight="1">
      <c r="A119" s="6" t="str">
        <f>APPRENANTS!B108</f>
        <v>LAREF Faouzi</v>
      </c>
      <c r="B119" s="6" t="str">
        <f>APPRENANTS!A108</f>
        <v>Proskills Institut</v>
      </c>
      <c r="C119" s="6" t="str">
        <f>APPRENANTS!C108</f>
        <v>Nedjma</v>
      </c>
      <c r="D119" s="6" t="str">
        <f>APPRENANTS!G108</f>
        <v>FACTURE</v>
      </c>
      <c r="E119" s="6" t="str">
        <f>APPRENANTS!D108</f>
        <v>Communiquer sur les réseaux sociaux pour promouvoir sa TPE</v>
      </c>
      <c r="F119" s="6" t="str">
        <f>APPRENANTS!E108</f>
        <v>2026-06-15</v>
      </c>
      <c r="G119" s="6" t="str">
        <f>APPRENANTS!F108</f>
        <v>2026-06-20</v>
      </c>
      <c r="H119" s="6" t="str">
        <f>APPRENANTS!H108</f>
        <v>350 BD National 13003 MARSEILLE</v>
      </c>
      <c r="I119" s="6" t="str">
        <f>APPRENANTS!I108</f>
        <v/>
      </c>
      <c r="J119" s="6" t="str">
        <f>APPRENANTS!J108</f>
        <v/>
      </c>
      <c r="K119" s="6" t="str">
        <f>APPRENANTS!K108</f>
        <v/>
      </c>
      <c r="L119" s="11"/>
      <c r="M119" s="11"/>
      <c r="N119" s="6" t="str">
        <f>'WEDOF - EXAMEN FINAL'!D108</f>
        <v>A faire</v>
      </c>
      <c r="O119" s="6" t="str">
        <f>'WEDOF - EXAMEN FINAL'!E108</f>
        <v>A faire</v>
      </c>
      <c r="P119" s="6" t="str">
        <f>'WEDOF - EXAMEN FINAL'!H108</f>
        <v/>
      </c>
      <c r="Q119" s="6" t="str">
        <f>'WEDOF - EXAMEN FINAL'!F108</f>
        <v>A faire</v>
      </c>
      <c r="R119" s="11"/>
      <c r="S119" s="6">
        <f>'PAIEMENTS &amp; COMMISSIONS'!I108</f>
        <v>1500</v>
      </c>
      <c r="T119" s="6" t="b">
        <f t="shared" si="2"/>
        <v>1</v>
      </c>
      <c r="U119" s="6" t="b">
        <f t="shared" si="3"/>
        <v>0</v>
      </c>
      <c r="V119" s="11" t="b">
        <f t="shared" ref="V119:W119" si="109">FALSE()</f>
        <v>0</v>
      </c>
      <c r="W119" s="11" t="b">
        <f t="shared" si="109"/>
        <v>0</v>
      </c>
      <c r="X119" s="10" t="str">
        <f>APPRENANTS!Y108</f>
        <v>Oui</v>
      </c>
    </row>
    <row r="120" ht="15.0" customHeight="1">
      <c r="A120" s="6" t="str">
        <f>APPRENANTS!B109</f>
        <v>LAREF Faouzi</v>
      </c>
      <c r="B120" s="6" t="str">
        <f>APPRENANTS!A109</f>
        <v>Proskills Institut</v>
      </c>
      <c r="C120" s="6" t="str">
        <f>APPRENANTS!C109</f>
        <v>Nedjma</v>
      </c>
      <c r="D120" s="6" t="str">
        <f>APPRENANTS!G109</f>
        <v>FACTURE</v>
      </c>
      <c r="E120" s="6" t="str">
        <f>APPRENANTS!D109</f>
        <v>Réaliser les opérations comptables courantes d'une TPE</v>
      </c>
      <c r="F120" s="6" t="str">
        <f>APPRENANTS!E109</f>
        <v>2026-06-01</v>
      </c>
      <c r="G120" s="6" t="str">
        <f>APPRENANTS!F109</f>
        <v>2026-06-05</v>
      </c>
      <c r="H120" s="6" t="str">
        <f>APPRENANTS!H109</f>
        <v>350 BD National 13003 MARSEILLE</v>
      </c>
      <c r="I120" s="6" t="str">
        <f>APPRENANTS!I109</f>
        <v/>
      </c>
      <c r="J120" s="6" t="str">
        <f>APPRENANTS!J109</f>
        <v/>
      </c>
      <c r="K120" s="6" t="str">
        <f>APPRENANTS!K109</f>
        <v/>
      </c>
      <c r="L120" s="11"/>
      <c r="M120" s="11"/>
      <c r="N120" s="6" t="str">
        <f>'WEDOF - EXAMEN FINAL'!D109</f>
        <v>A faire</v>
      </c>
      <c r="O120" s="6" t="str">
        <f>'WEDOF - EXAMEN FINAL'!E109</f>
        <v>A faire</v>
      </c>
      <c r="P120" s="6" t="str">
        <f>'WEDOF - EXAMEN FINAL'!H109</f>
        <v/>
      </c>
      <c r="Q120" s="6" t="str">
        <f>'WEDOF - EXAMEN FINAL'!F109</f>
        <v>A faire</v>
      </c>
      <c r="R120" s="11"/>
      <c r="S120" s="6">
        <f>'PAIEMENTS &amp; COMMISSIONS'!I109</f>
        <v>1500</v>
      </c>
      <c r="T120" s="6" t="b">
        <f t="shared" si="2"/>
        <v>1</v>
      </c>
      <c r="U120" s="6" t="b">
        <f t="shared" si="3"/>
        <v>0</v>
      </c>
      <c r="V120" s="11" t="b">
        <f t="shared" ref="V120:W120" si="110">FALSE()</f>
        <v>0</v>
      </c>
      <c r="W120" s="11" t="b">
        <f t="shared" si="110"/>
        <v>0</v>
      </c>
      <c r="X120" s="10" t="str">
        <f>APPRENANTS!Y109</f>
        <v>Oui</v>
      </c>
    </row>
    <row r="121" ht="15.0" customHeight="1">
      <c r="A121" s="6" t="str">
        <f>APPRENANTS!B110</f>
        <v>SCHIANCHI Emmanuel</v>
      </c>
      <c r="B121" s="6" t="str">
        <f>APPRENANTS!A110</f>
        <v>Proskills Institut</v>
      </c>
      <c r="C121" s="6" t="str">
        <f>APPRENANTS!C110</f>
        <v>Djody</v>
      </c>
      <c r="D121" s="6" t="str">
        <f>APPRENANTS!G110</f>
        <v>FACTURE</v>
      </c>
      <c r="E121" s="6" t="str">
        <f>APPRENANTS!D110</f>
        <v>Améliorer l'efficacité de sa TPE à l'aide de l'IA</v>
      </c>
      <c r="F121" s="6" t="str">
        <f>APPRENANTS!E110</f>
        <v>2026-06-08</v>
      </c>
      <c r="G121" s="6" t="str">
        <f>APPRENANTS!F110</f>
        <v>2026-06-13</v>
      </c>
      <c r="H121" s="6" t="str">
        <f>APPRENANTS!H110</f>
        <v>24 RUE Marengo  13006 MARSEILLE</v>
      </c>
      <c r="I121" s="6" t="str">
        <f>APPRENANTS!I110</f>
        <v>manu.schianchi@gmail.com</v>
      </c>
      <c r="J121" s="6" t="str">
        <f>APPRENANTS!J110</f>
        <v>0666482176</v>
      </c>
      <c r="K121" s="6" t="str">
        <f>APPRENANTS!K110</f>
        <v/>
      </c>
      <c r="L121" s="11"/>
      <c r="M121" s="11"/>
      <c r="N121" s="6" t="str">
        <f>'WEDOF - EXAMEN FINAL'!D110</f>
        <v>A faire</v>
      </c>
      <c r="O121" s="6" t="str">
        <f>'WEDOF - EXAMEN FINAL'!E110</f>
        <v>Fait</v>
      </c>
      <c r="P121" s="6" t="str">
        <f>'WEDOF - EXAMEN FINAL'!H110</f>
        <v/>
      </c>
      <c r="Q121" s="6" t="str">
        <f>'WEDOF - EXAMEN FINAL'!F110</f>
        <v>A faire</v>
      </c>
      <c r="R121" s="11"/>
      <c r="S121" s="6">
        <f>'PAIEMENTS &amp; COMMISSIONS'!I110</f>
        <v>1500</v>
      </c>
      <c r="T121" s="6" t="b">
        <f t="shared" si="2"/>
        <v>1</v>
      </c>
      <c r="U121" s="6" t="b">
        <f t="shared" si="3"/>
        <v>0</v>
      </c>
      <c r="V121" s="11" t="b">
        <f t="shared" ref="V121:W121" si="111">FALSE()</f>
        <v>0</v>
      </c>
      <c r="W121" s="11" t="b">
        <f t="shared" si="111"/>
        <v>0</v>
      </c>
      <c r="X121" s="10" t="str">
        <f>APPRENANTS!Y110</f>
        <v>Oui</v>
      </c>
    </row>
    <row r="122" ht="15.0" customHeight="1">
      <c r="A122" s="6" t="str">
        <f>APPRENANTS!B111</f>
        <v>SCHIANCHI Emmanuel</v>
      </c>
      <c r="B122" s="6" t="str">
        <f>APPRENANTS!A111</f>
        <v>Proskills Institut</v>
      </c>
      <c r="C122" s="6" t="str">
        <f>APPRENANTS!C111</f>
        <v>Djody</v>
      </c>
      <c r="D122" s="6" t="str">
        <f>APPRENANTS!G111</f>
        <v>FACTURE</v>
      </c>
      <c r="E122" s="6" t="str">
        <f>APPRENANTS!D111</f>
        <v>Communiquer sur les réseaux sociaux pour promouvoir sa TPE</v>
      </c>
      <c r="F122" s="6" t="str">
        <f>APPRENANTS!E111</f>
        <v>2026-06-15</v>
      </c>
      <c r="G122" s="6" t="str">
        <f>APPRENANTS!F111</f>
        <v>2026-06-20</v>
      </c>
      <c r="H122" s="6" t="str">
        <f>APPRENANTS!H111</f>
        <v>24 RUE Marengo  13006 MARSEILLE</v>
      </c>
      <c r="I122" s="6" t="str">
        <f>APPRENANTS!I111</f>
        <v/>
      </c>
      <c r="J122" s="6" t="str">
        <f>APPRENANTS!J111</f>
        <v/>
      </c>
      <c r="K122" s="6" t="str">
        <f>APPRENANTS!K111</f>
        <v/>
      </c>
      <c r="L122" s="11"/>
      <c r="M122" s="11"/>
      <c r="N122" s="6" t="str">
        <f>'WEDOF - EXAMEN FINAL'!D111</f>
        <v>A faire</v>
      </c>
      <c r="O122" s="6" t="str">
        <f>'WEDOF - EXAMEN FINAL'!E111</f>
        <v>Fait</v>
      </c>
      <c r="P122" s="6" t="str">
        <f>'WEDOF - EXAMEN FINAL'!H111</f>
        <v/>
      </c>
      <c r="Q122" s="6" t="str">
        <f>'WEDOF - EXAMEN FINAL'!F111</f>
        <v>A faire</v>
      </c>
      <c r="R122" s="11"/>
      <c r="S122" s="6">
        <f>'PAIEMENTS &amp; COMMISSIONS'!I111</f>
        <v>1500</v>
      </c>
      <c r="T122" s="6" t="b">
        <f t="shared" si="2"/>
        <v>1</v>
      </c>
      <c r="U122" s="6" t="b">
        <f t="shared" si="3"/>
        <v>0</v>
      </c>
      <c r="V122" s="11" t="b">
        <f t="shared" ref="V122:W122" si="112">FALSE()</f>
        <v>0</v>
      </c>
      <c r="W122" s="11" t="b">
        <f t="shared" si="112"/>
        <v>0</v>
      </c>
      <c r="X122" s="10" t="str">
        <f>APPRENANTS!Y111</f>
        <v>Oui</v>
      </c>
    </row>
    <row r="123" ht="15.0" customHeight="1">
      <c r="A123" s="6" t="str">
        <f>APPRENANTS!B112</f>
        <v>SCHIANCHI Emmanuel</v>
      </c>
      <c r="B123" s="6" t="str">
        <f>APPRENANTS!A112</f>
        <v>Proskills Institut</v>
      </c>
      <c r="C123" s="6" t="str">
        <f>APPRENANTS!C112</f>
        <v>Djody</v>
      </c>
      <c r="D123" s="6" t="str">
        <f>APPRENANTS!G112</f>
        <v>FACTURE</v>
      </c>
      <c r="E123" s="6" t="str">
        <f>APPRENANTS!D112</f>
        <v>Réaliser les opérations comptables courantes d'une TPE</v>
      </c>
      <c r="F123" s="6" t="str">
        <f>APPRENANTS!E112</f>
        <v>2026-06-01</v>
      </c>
      <c r="G123" s="6" t="str">
        <f>APPRENANTS!F112</f>
        <v>2026-06-05</v>
      </c>
      <c r="H123" s="6" t="str">
        <f>APPRENANTS!H112</f>
        <v>24 RUE Marengo  13006 MARSEILLE</v>
      </c>
      <c r="I123" s="6" t="str">
        <f>APPRENANTS!I112</f>
        <v/>
      </c>
      <c r="J123" s="6" t="str">
        <f>APPRENANTS!J112</f>
        <v/>
      </c>
      <c r="K123" s="6" t="str">
        <f>APPRENANTS!K112</f>
        <v/>
      </c>
      <c r="L123" s="11"/>
      <c r="M123" s="11"/>
      <c r="N123" s="6" t="str">
        <f>'WEDOF - EXAMEN FINAL'!D112</f>
        <v>A faire</v>
      </c>
      <c r="O123" s="6" t="str">
        <f>'WEDOF - EXAMEN FINAL'!E112</f>
        <v>Fait</v>
      </c>
      <c r="P123" s="6" t="str">
        <f>'WEDOF - EXAMEN FINAL'!H112</f>
        <v/>
      </c>
      <c r="Q123" s="6" t="str">
        <f>'WEDOF - EXAMEN FINAL'!F112</f>
        <v>A faire</v>
      </c>
      <c r="R123" s="11"/>
      <c r="S123" s="6">
        <f>'PAIEMENTS &amp; COMMISSIONS'!I112</f>
        <v>1500</v>
      </c>
      <c r="T123" s="6" t="b">
        <f t="shared" si="2"/>
        <v>1</v>
      </c>
      <c r="U123" s="6" t="b">
        <f t="shared" si="3"/>
        <v>0</v>
      </c>
      <c r="V123" s="11" t="b">
        <f t="shared" ref="V123:W123" si="113">FALSE()</f>
        <v>0</v>
      </c>
      <c r="W123" s="11" t="b">
        <f t="shared" si="113"/>
        <v>0</v>
      </c>
      <c r="X123" s="10" t="str">
        <f>APPRENANTS!Y112</f>
        <v>Oui</v>
      </c>
    </row>
    <row r="124" ht="15.0" customHeight="1">
      <c r="A124" s="6" t="str">
        <f>APPRENANTS!B113</f>
        <v>Yasmina Bessa</v>
      </c>
      <c r="B124" s="6" t="str">
        <f>APPRENANTS!A113</f>
        <v>Proskills Institut</v>
      </c>
      <c r="C124" s="6" t="str">
        <f>APPRENANTS!C113</f>
        <v>Jean</v>
      </c>
      <c r="D124" s="6" t="str">
        <f>APPRENANTS!G113</f>
        <v>FACTURE</v>
      </c>
      <c r="E124" s="6" t="str">
        <f>APPRENANTS!D113</f>
        <v>Améliorer l'efficacité de sa TPE à l'aide de l'IA</v>
      </c>
      <c r="F124" s="6" t="str">
        <f>APPRENANTS!E113</f>
        <v>2026-06-15</v>
      </c>
      <c r="G124" s="6" t="str">
        <f>APPRENANTS!F113</f>
        <v>2026-06-20</v>
      </c>
      <c r="H124" s="6" t="str">
        <f>APPRENANTS!H113</f>
        <v>52 BD Louis villecroze 13014 MARSEILLE</v>
      </c>
      <c r="I124" s="6" t="str">
        <f>APPRENANTS!I113</f>
        <v>rekika.yasmina@gmail.com</v>
      </c>
      <c r="J124" s="6" t="str">
        <f>APPRENANTS!J113</f>
        <v>0669596133</v>
      </c>
      <c r="K124" s="6" t="str">
        <f>APPRENANTS!K113</f>
        <v/>
      </c>
      <c r="L124" s="11"/>
      <c r="M124" s="11"/>
      <c r="N124" s="6" t="str">
        <f>'WEDOF - EXAMEN FINAL'!D113</f>
        <v>A faire</v>
      </c>
      <c r="O124" s="6" t="str">
        <f>'WEDOF - EXAMEN FINAL'!E113</f>
        <v>Fait</v>
      </c>
      <c r="P124" s="6" t="str">
        <f>'WEDOF - EXAMEN FINAL'!H113</f>
        <v/>
      </c>
      <c r="Q124" s="6" t="str">
        <f>'WEDOF - EXAMEN FINAL'!F113</f>
        <v>A faire</v>
      </c>
      <c r="R124" s="11"/>
      <c r="S124" s="6">
        <f>'PAIEMENTS &amp; COMMISSIONS'!I113</f>
        <v>1500</v>
      </c>
      <c r="T124" s="6" t="b">
        <f t="shared" si="2"/>
        <v>1</v>
      </c>
      <c r="U124" s="6" t="b">
        <f t="shared" si="3"/>
        <v>0</v>
      </c>
      <c r="V124" s="11" t="b">
        <f t="shared" ref="V124:W124" si="114">FALSE()</f>
        <v>0</v>
      </c>
      <c r="W124" s="11" t="b">
        <f t="shared" si="114"/>
        <v>0</v>
      </c>
      <c r="X124" s="10" t="str">
        <f>APPRENANTS!Y113</f>
        <v>Oui</v>
      </c>
    </row>
    <row r="125" ht="15.0" customHeight="1">
      <c r="A125" s="6" t="str">
        <f>APPRENANTS!B114</f>
        <v>Yasmina Bessa</v>
      </c>
      <c r="B125" s="6" t="str">
        <f>APPRENANTS!A114</f>
        <v>Proskills Institut</v>
      </c>
      <c r="C125" s="6" t="str">
        <f>APPRENANTS!C114</f>
        <v>Jean</v>
      </c>
      <c r="D125" s="6" t="str">
        <f>APPRENANTS!G114</f>
        <v>FACTURE</v>
      </c>
      <c r="E125" s="6" t="str">
        <f>APPRENANTS!D114</f>
        <v>Communiquer sur les réseaux sociaux pour promouvoir sa TPE</v>
      </c>
      <c r="F125" s="6" t="str">
        <f>APPRENANTS!E114</f>
        <v>2026-06-29</v>
      </c>
      <c r="G125" s="6" t="str">
        <f>APPRENANTS!F114</f>
        <v>2026-07-04</v>
      </c>
      <c r="H125" s="6" t="str">
        <f>APPRENANTS!H114</f>
        <v>52 BD Louis villecroze 13014 MARSEILLE</v>
      </c>
      <c r="I125" s="6" t="str">
        <f>APPRENANTS!I114</f>
        <v/>
      </c>
      <c r="J125" s="6" t="str">
        <f>APPRENANTS!J114</f>
        <v/>
      </c>
      <c r="K125" s="6" t="str">
        <f>APPRENANTS!K114</f>
        <v/>
      </c>
      <c r="L125" s="11"/>
      <c r="M125" s="11"/>
      <c r="N125" s="6" t="str">
        <f>'WEDOF - EXAMEN FINAL'!D114</f>
        <v>A faire</v>
      </c>
      <c r="O125" s="6" t="str">
        <f>'WEDOF - EXAMEN FINAL'!E114</f>
        <v>Fait</v>
      </c>
      <c r="P125" s="6" t="str">
        <f>'WEDOF - EXAMEN FINAL'!H114</f>
        <v/>
      </c>
      <c r="Q125" s="6" t="str">
        <f>'WEDOF - EXAMEN FINAL'!F114</f>
        <v>A faire</v>
      </c>
      <c r="R125" s="11"/>
      <c r="S125" s="6">
        <f>'PAIEMENTS &amp; COMMISSIONS'!I114</f>
        <v>1500</v>
      </c>
      <c r="T125" s="6" t="b">
        <f t="shared" si="2"/>
        <v>1</v>
      </c>
      <c r="U125" s="6" t="b">
        <f t="shared" si="3"/>
        <v>0</v>
      </c>
      <c r="V125" s="11" t="b">
        <f t="shared" ref="V125:W125" si="115">FALSE()</f>
        <v>0</v>
      </c>
      <c r="W125" s="11" t="b">
        <f t="shared" si="115"/>
        <v>0</v>
      </c>
      <c r="X125" s="10" t="str">
        <f>APPRENANTS!Y114</f>
        <v>Oui</v>
      </c>
    </row>
    <row r="126" ht="15.0" customHeight="1">
      <c r="A126" s="6" t="str">
        <f>APPRENANTS!B115</f>
        <v>Lyess Mohamed</v>
      </c>
      <c r="B126" s="6" t="str">
        <f>APPRENANTS!A115</f>
        <v>Proskills Institut</v>
      </c>
      <c r="C126" s="6" t="str">
        <f>APPRENANTS!C115</f>
        <v>Jean</v>
      </c>
      <c r="D126" s="6" t="str">
        <f>APPRENANTS!G115</f>
        <v>FACTURE</v>
      </c>
      <c r="E126" s="6" t="str">
        <f>APPRENANTS!D115</f>
        <v>Développer son activité avec l'intelligence artificielle</v>
      </c>
      <c r="F126" s="6" t="str">
        <f>APPRENANTS!E115</f>
        <v>2026-06-29</v>
      </c>
      <c r="G126" s="6" t="str">
        <f>APPRENANTS!F115</f>
        <v>2026-07-04</v>
      </c>
      <c r="H126" s="6" t="str">
        <f>APPRENANTS!H115</f>
        <v>32 TRA De gibbes 13003 MARSEILLE</v>
      </c>
      <c r="I126" s="6" t="str">
        <f>APPRENANTS!I115</f>
        <v>lyessm210711@gmail.com</v>
      </c>
      <c r="J126" s="6" t="str">
        <f>APPRENANTS!J115</f>
        <v>0761703962</v>
      </c>
      <c r="K126" s="6" t="str">
        <f>APPRENANTS!K115</f>
        <v/>
      </c>
      <c r="L126" s="11"/>
      <c r="M126" s="11"/>
      <c r="N126" s="6" t="str">
        <f>'WEDOF - EXAMEN FINAL'!D115</f>
        <v>A faire</v>
      </c>
      <c r="O126" s="6" t="str">
        <f>'WEDOF - EXAMEN FINAL'!E115</f>
        <v>A faire</v>
      </c>
      <c r="P126" s="6" t="str">
        <f>'WEDOF - EXAMEN FINAL'!H115</f>
        <v/>
      </c>
      <c r="Q126" s="6" t="str">
        <f>'WEDOF - EXAMEN FINAL'!F115</f>
        <v>A faire</v>
      </c>
      <c r="R126" s="11"/>
      <c r="S126" s="6">
        <f>'PAIEMENTS &amp; COMMISSIONS'!I115</f>
        <v>1500</v>
      </c>
      <c r="T126" s="6" t="b">
        <f t="shared" si="2"/>
        <v>1</v>
      </c>
      <c r="U126" s="6" t="b">
        <f t="shared" si="3"/>
        <v>0</v>
      </c>
      <c r="V126" s="11" t="b">
        <f t="shared" ref="V126:W126" si="116">FALSE()</f>
        <v>0</v>
      </c>
      <c r="W126" s="11" t="b">
        <f t="shared" si="116"/>
        <v>0</v>
      </c>
      <c r="X126" s="10" t="str">
        <f>APPRENANTS!Y115</f>
        <v>Oui</v>
      </c>
    </row>
    <row r="127" ht="15.0" customHeight="1">
      <c r="A127" s="6" t="str">
        <f>APPRENANTS!B116</f>
        <v>BASCUNANA Jean-Christophe</v>
      </c>
      <c r="B127" s="6" t="str">
        <f>APPRENANTS!A116</f>
        <v>Proskills Institut</v>
      </c>
      <c r="C127" s="6" t="str">
        <f>APPRENANTS!C116</f>
        <v/>
      </c>
      <c r="D127" s="6" t="str">
        <f>APPRENANTS!G116</f>
        <v>Accepté</v>
      </c>
      <c r="E127" s="6" t="str">
        <f>APPRENANTS!D116</f>
        <v>Communiquer sur les réseaux sociaux pour promouvoir sa TPE</v>
      </c>
      <c r="F127" s="6" t="str">
        <f>APPRENANTS!E116</f>
        <v>2026-06-29</v>
      </c>
      <c r="G127" s="6" t="str">
        <f>APPRENANTS!F116</f>
        <v>2026-07-04</v>
      </c>
      <c r="H127" s="6" t="str">
        <f>APPRENANTS!H116</f>
        <v>14 AV Fuveau 13013 MARSEILLE</v>
      </c>
      <c r="I127" s="6" t="str">
        <f>APPRENANTS!I116</f>
        <v>jcbascunana@gmail.com</v>
      </c>
      <c r="J127" s="6" t="str">
        <f>APPRENANTS!J116</f>
        <v>0623704619</v>
      </c>
      <c r="K127" s="6" t="str">
        <f>APPRENANTS!K116</f>
        <v/>
      </c>
      <c r="L127" s="11"/>
      <c r="M127" s="11"/>
      <c r="N127" s="6" t="str">
        <f>'WEDOF - EXAMEN FINAL'!D116</f>
        <v>A faire</v>
      </c>
      <c r="O127" s="6" t="str">
        <f>'WEDOF - EXAMEN FINAL'!E116</f>
        <v>Fait</v>
      </c>
      <c r="P127" s="6" t="str">
        <f>'WEDOF - EXAMEN FINAL'!H116</f>
        <v/>
      </c>
      <c r="Q127" s="6" t="str">
        <f>'WEDOF - EXAMEN FINAL'!F116</f>
        <v>A faire</v>
      </c>
      <c r="R127" s="11"/>
      <c r="S127" s="6">
        <f>'PAIEMENTS &amp; COMMISSIONS'!I116</f>
        <v>1500</v>
      </c>
      <c r="T127" s="6" t="b">
        <f t="shared" si="2"/>
        <v>1</v>
      </c>
      <c r="U127" s="6" t="b">
        <f t="shared" si="3"/>
        <v>0</v>
      </c>
      <c r="V127" s="11" t="b">
        <f t="shared" ref="V127:W127" si="117">FALSE()</f>
        <v>0</v>
      </c>
      <c r="W127" s="11" t="b">
        <f t="shared" si="117"/>
        <v>0</v>
      </c>
      <c r="X127" s="10" t="str">
        <f>APPRENANTS!Y116</f>
        <v>Oui</v>
      </c>
    </row>
    <row r="128" ht="15.0" customHeight="1">
      <c r="A128" s="6" t="str">
        <f>APPRENANTS!B117</f>
        <v>BASCUNANA Jean-Christophe</v>
      </c>
      <c r="B128" s="6" t="str">
        <f>APPRENANTS!A117</f>
        <v>Proskills Institut</v>
      </c>
      <c r="C128" s="6" t="str">
        <f>APPRENANTS!C117</f>
        <v/>
      </c>
      <c r="D128" s="6" t="str">
        <f>APPRENANTS!G117</f>
        <v>Accepté</v>
      </c>
      <c r="E128" s="6" t="str">
        <f>APPRENANTS!D117</f>
        <v>Améliorer l'efficacité de sa TPE à l'aide de l'IA</v>
      </c>
      <c r="F128" s="6" t="str">
        <f>APPRENANTS!E117</f>
        <v>2026-07-06</v>
      </c>
      <c r="G128" s="6" t="str">
        <f>APPRENANTS!F117</f>
        <v>2026-07-11</v>
      </c>
      <c r="H128" s="6" t="str">
        <f>APPRENANTS!H117</f>
        <v>14 AV Fuveau 13013 MARSEILLE</v>
      </c>
      <c r="I128" s="6" t="str">
        <f>APPRENANTS!I117</f>
        <v>jcbascunana@gmail.com</v>
      </c>
      <c r="J128" s="6" t="str">
        <f>APPRENANTS!J117</f>
        <v/>
      </c>
      <c r="K128" s="6" t="str">
        <f>APPRENANTS!K117</f>
        <v/>
      </c>
      <c r="L128" s="11"/>
      <c r="M128" s="11"/>
      <c r="N128" s="6" t="str">
        <f>'WEDOF - EXAMEN FINAL'!D117</f>
        <v>A faire</v>
      </c>
      <c r="O128" s="6" t="str">
        <f>'WEDOF - EXAMEN FINAL'!E117</f>
        <v>Fait</v>
      </c>
      <c r="P128" s="6" t="str">
        <f>'WEDOF - EXAMEN FINAL'!H117</f>
        <v/>
      </c>
      <c r="Q128" s="6" t="str">
        <f>'WEDOF - EXAMEN FINAL'!F117</f>
        <v>A faire</v>
      </c>
      <c r="R128" s="11"/>
      <c r="S128" s="6">
        <f>'PAIEMENTS &amp; COMMISSIONS'!I117</f>
        <v>1500</v>
      </c>
      <c r="T128" s="6" t="b">
        <f t="shared" si="2"/>
        <v>1</v>
      </c>
      <c r="U128" s="6" t="b">
        <f t="shared" si="3"/>
        <v>0</v>
      </c>
      <c r="V128" s="11" t="b">
        <f t="shared" ref="V128:W128" si="118">FALSE()</f>
        <v>0</v>
      </c>
      <c r="W128" s="11" t="b">
        <f t="shared" si="118"/>
        <v>0</v>
      </c>
      <c r="X128" s="10" t="str">
        <f>APPRENANTS!Y117</f>
        <v>Oui</v>
      </c>
    </row>
    <row r="129" ht="15.0" customHeight="1">
      <c r="A129" s="6" t="str">
        <f>APPRENANTS!B118</f>
        <v>BASCUNANA Jean-Christophe</v>
      </c>
      <c r="B129" s="6" t="str">
        <f>APPRENANTS!A118</f>
        <v>Proskills Institut</v>
      </c>
      <c r="C129" s="6" t="str">
        <f>APPRENANTS!C118</f>
        <v/>
      </c>
      <c r="D129" s="6" t="str">
        <f>APPRENANTS!G118</f>
        <v>Accepté</v>
      </c>
      <c r="E129" s="6" t="str">
        <f>APPRENANTS!D118</f>
        <v>Réaliser les opérations comptables courantes d'une TPE</v>
      </c>
      <c r="F129" s="6" t="str">
        <f>APPRENANTS!E118</f>
        <v>2026-07-13</v>
      </c>
      <c r="G129" s="6" t="str">
        <f>APPRENANTS!F118</f>
        <v>2026-07-18</v>
      </c>
      <c r="H129" s="6" t="str">
        <f>APPRENANTS!H118</f>
        <v>14 AV Fuveau 13013 MARSEILLE</v>
      </c>
      <c r="I129" s="6" t="str">
        <f>APPRENANTS!I118</f>
        <v>jcbascunana@gmail.com</v>
      </c>
      <c r="J129" s="6" t="str">
        <f>APPRENANTS!J118</f>
        <v/>
      </c>
      <c r="K129" s="6" t="str">
        <f>APPRENANTS!K118</f>
        <v/>
      </c>
      <c r="L129" s="11"/>
      <c r="M129" s="11"/>
      <c r="N129" s="6" t="str">
        <f>'WEDOF - EXAMEN FINAL'!D118</f>
        <v>A faire</v>
      </c>
      <c r="O129" s="6" t="str">
        <f>'WEDOF - EXAMEN FINAL'!E118</f>
        <v>Fait</v>
      </c>
      <c r="P129" s="6" t="str">
        <f>'WEDOF - EXAMEN FINAL'!H118</f>
        <v/>
      </c>
      <c r="Q129" s="6" t="str">
        <f>'WEDOF - EXAMEN FINAL'!F118</f>
        <v>A faire</v>
      </c>
      <c r="R129" s="11"/>
      <c r="S129" s="6">
        <f>'PAIEMENTS &amp; COMMISSIONS'!I118</f>
        <v>1500</v>
      </c>
      <c r="T129" s="6" t="b">
        <f t="shared" si="2"/>
        <v>1</v>
      </c>
      <c r="U129" s="6" t="b">
        <f t="shared" si="3"/>
        <v>0</v>
      </c>
      <c r="V129" s="11" t="b">
        <f t="shared" ref="V129:W129" si="119">FALSE()</f>
        <v>0</v>
      </c>
      <c r="W129" s="11" t="b">
        <f t="shared" si="119"/>
        <v>0</v>
      </c>
      <c r="X129" s="10" t="str">
        <f>APPRENANTS!Y118</f>
        <v>Oui</v>
      </c>
    </row>
    <row r="130" ht="15.0" customHeight="1">
      <c r="A130" s="6" t="str">
        <f>APPRENANTS!B119</f>
        <v>BUIDIN Michael</v>
      </c>
      <c r="B130" s="6" t="str">
        <f>APPRENANTS!A119</f>
        <v>Proskills Institut</v>
      </c>
      <c r="C130" s="6" t="str">
        <f>APPRENANTS!C119</f>
        <v>frere karim</v>
      </c>
      <c r="D130" s="6" t="str">
        <f>APPRENANTS!G119</f>
        <v>Accepté</v>
      </c>
      <c r="E130" s="6" t="str">
        <f>APPRENANTS!D119</f>
        <v>Communiquer sur les réseaux sociaux pour promouvoir sa TPE</v>
      </c>
      <c r="F130" s="6" t="str">
        <f>APPRENANTS!E119</f>
        <v>2026-06-29</v>
      </c>
      <c r="G130" s="6" t="str">
        <f>APPRENANTS!F119</f>
        <v>2026-07-04</v>
      </c>
      <c r="H130" s="6" t="str">
        <f>APPRENANTS!H119</f>
        <v>17 RUE Marquis de condorcet 13700 MARIGNANE</v>
      </c>
      <c r="I130" s="6" t="str">
        <f>APPRENANTS!I119</f>
        <v>michael.om.dd@live.fr</v>
      </c>
      <c r="J130" s="6" t="str">
        <f>APPRENANTS!J119</f>
        <v>0622744148</v>
      </c>
      <c r="K130" s="6" t="str">
        <f>APPRENANTS!K119</f>
        <v/>
      </c>
      <c r="L130" s="11"/>
      <c r="M130" s="11"/>
      <c r="N130" s="6" t="str">
        <f>'WEDOF - EXAMEN FINAL'!D119</f>
        <v>A faire</v>
      </c>
      <c r="O130" s="6" t="str">
        <f>'WEDOF - EXAMEN FINAL'!E119</f>
        <v>A faire</v>
      </c>
      <c r="P130" s="6" t="str">
        <f>'WEDOF - EXAMEN FINAL'!H119</f>
        <v/>
      </c>
      <c r="Q130" s="6" t="str">
        <f>'WEDOF - EXAMEN FINAL'!F119</f>
        <v>A faire</v>
      </c>
      <c r="R130" s="11"/>
      <c r="S130" s="6">
        <f>'PAIEMENTS &amp; COMMISSIONS'!I119</f>
        <v>1500</v>
      </c>
      <c r="T130" s="6" t="b">
        <f t="shared" si="2"/>
        <v>1</v>
      </c>
      <c r="U130" s="6" t="b">
        <f t="shared" si="3"/>
        <v>0</v>
      </c>
      <c r="V130" s="11" t="b">
        <f t="shared" ref="V130:W130" si="120">FALSE()</f>
        <v>0</v>
      </c>
      <c r="W130" s="11" t="b">
        <f t="shared" si="120"/>
        <v>0</v>
      </c>
      <c r="X130" s="10" t="str">
        <f>APPRENANTS!Y119</f>
        <v>Oui</v>
      </c>
    </row>
    <row r="131" ht="15.0" customHeight="1">
      <c r="A131" s="6" t="str">
        <f>APPRENANTS!B120</f>
        <v>BUIDIN Michael</v>
      </c>
      <c r="B131" s="6" t="str">
        <f>APPRENANTS!A120</f>
        <v>Proskills Institut</v>
      </c>
      <c r="C131" s="6" t="str">
        <f>APPRENANTS!C120</f>
        <v>frere karim</v>
      </c>
      <c r="D131" s="6" t="str">
        <f>APPRENANTS!G120</f>
        <v>Accepté</v>
      </c>
      <c r="E131" s="6" t="str">
        <f>APPRENANTS!D120</f>
        <v>Améliorer l'efficacité de sa TPE à l'aide de l'IA</v>
      </c>
      <c r="F131" s="6" t="str">
        <f>APPRENANTS!E120</f>
        <v>2026-07-06</v>
      </c>
      <c r="G131" s="6" t="str">
        <f>APPRENANTS!F120</f>
        <v>2026-07-11</v>
      </c>
      <c r="H131" s="6" t="str">
        <f>APPRENANTS!H120</f>
        <v/>
      </c>
      <c r="I131" s="6" t="str">
        <f>APPRENANTS!I120</f>
        <v/>
      </c>
      <c r="J131" s="6" t="str">
        <f>APPRENANTS!J120</f>
        <v/>
      </c>
      <c r="K131" s="6" t="str">
        <f>APPRENANTS!K120</f>
        <v/>
      </c>
      <c r="L131" s="11"/>
      <c r="M131" s="11"/>
      <c r="N131" s="6" t="str">
        <f>'WEDOF - EXAMEN FINAL'!D120</f>
        <v>A faire</v>
      </c>
      <c r="O131" s="6" t="str">
        <f>'WEDOF - EXAMEN FINAL'!E120</f>
        <v>A faire</v>
      </c>
      <c r="P131" s="6" t="str">
        <f>'WEDOF - EXAMEN FINAL'!H120</f>
        <v/>
      </c>
      <c r="Q131" s="6" t="str">
        <f>'WEDOF - EXAMEN FINAL'!F120</f>
        <v>A faire</v>
      </c>
      <c r="R131" s="11"/>
      <c r="S131" s="6">
        <f>'PAIEMENTS &amp; COMMISSIONS'!I120</f>
        <v>1500</v>
      </c>
      <c r="T131" s="6" t="b">
        <f t="shared" si="2"/>
        <v>1</v>
      </c>
      <c r="U131" s="6" t="b">
        <f t="shared" si="3"/>
        <v>0</v>
      </c>
      <c r="V131" s="11" t="b">
        <f t="shared" ref="V131:W131" si="121">FALSE()</f>
        <v>0</v>
      </c>
      <c r="W131" s="11" t="b">
        <f t="shared" si="121"/>
        <v>0</v>
      </c>
      <c r="X131" s="10" t="str">
        <f>APPRENANTS!Y120</f>
        <v>Oui</v>
      </c>
    </row>
    <row r="132" ht="15.0" customHeight="1">
      <c r="A132" s="6" t="str">
        <f>APPRENANTS!B121</f>
        <v>BUIDIN Michael</v>
      </c>
      <c r="B132" s="6" t="str">
        <f>APPRENANTS!A121</f>
        <v>Proskills Institut</v>
      </c>
      <c r="C132" s="6" t="str">
        <f>APPRENANTS!C121</f>
        <v>frere karim</v>
      </c>
      <c r="D132" s="6" t="str">
        <f>APPRENANTS!G121</f>
        <v>Accepté</v>
      </c>
      <c r="E132" s="6" t="str">
        <f>APPRENANTS!D121</f>
        <v>Réaliser les opérations comptables courantes d'une TPE</v>
      </c>
      <c r="F132" s="6" t="str">
        <f>APPRENANTS!E121</f>
        <v>2026-07-13</v>
      </c>
      <c r="G132" s="6" t="str">
        <f>APPRENANTS!F121</f>
        <v>2026-07-18</v>
      </c>
      <c r="H132" s="6" t="str">
        <f>APPRENANTS!H121</f>
        <v/>
      </c>
      <c r="I132" s="6" t="str">
        <f>APPRENANTS!I121</f>
        <v/>
      </c>
      <c r="J132" s="6" t="str">
        <f>APPRENANTS!J121</f>
        <v/>
      </c>
      <c r="K132" s="6" t="str">
        <f>APPRENANTS!K121</f>
        <v/>
      </c>
      <c r="L132" s="11"/>
      <c r="M132" s="11"/>
      <c r="N132" s="6" t="str">
        <f>'WEDOF - EXAMEN FINAL'!D121</f>
        <v>A faire</v>
      </c>
      <c r="O132" s="6" t="str">
        <f>'WEDOF - EXAMEN FINAL'!E121</f>
        <v>A faire</v>
      </c>
      <c r="P132" s="6" t="str">
        <f>'WEDOF - EXAMEN FINAL'!H121</f>
        <v/>
      </c>
      <c r="Q132" s="6" t="str">
        <f>'WEDOF - EXAMEN FINAL'!F121</f>
        <v>A faire</v>
      </c>
      <c r="R132" s="11"/>
      <c r="S132" s="6">
        <f>'PAIEMENTS &amp; COMMISSIONS'!I121</f>
        <v>1500</v>
      </c>
      <c r="T132" s="6" t="b">
        <f t="shared" si="2"/>
        <v>1</v>
      </c>
      <c r="U132" s="6" t="b">
        <f t="shared" si="3"/>
        <v>0</v>
      </c>
      <c r="V132" s="11" t="b">
        <f t="shared" ref="V132:W132" si="122">FALSE()</f>
        <v>0</v>
      </c>
      <c r="W132" s="11" t="b">
        <f t="shared" si="122"/>
        <v>0</v>
      </c>
      <c r="X132" s="10" t="str">
        <f>APPRENANTS!Y121</f>
        <v>Oui</v>
      </c>
    </row>
    <row r="133" ht="15.0" customHeight="1">
      <c r="A133" s="6" t="str">
        <f>APPRENANTS!B122</f>
        <v>JIMENEZ Joris</v>
      </c>
      <c r="B133" s="6" t="str">
        <f>APPRENANTS!A122</f>
        <v>Proskills Institut</v>
      </c>
      <c r="C133" s="6" t="str">
        <f>APPRENANTS!C122</f>
        <v>frere karim</v>
      </c>
      <c r="D133" s="6" t="str">
        <f>APPRENANTS!G122</f>
        <v>Accepté</v>
      </c>
      <c r="E133" s="6" t="str">
        <f>APPRENANTS!D122</f>
        <v>Communiquer sur les réseaux sociaux pour promouvoir sa TPE</v>
      </c>
      <c r="F133" s="6" t="str">
        <f>APPRENANTS!E122</f>
        <v>2026-06-29</v>
      </c>
      <c r="G133" s="6" t="str">
        <f>APPRENANTS!F122</f>
        <v>2026-07-04</v>
      </c>
      <c r="H133" s="6" t="str">
        <f>APPRENANTS!H122</f>
        <v>370 PARC Parc des amandiers 13170 LES PENNES MIRABEAU</v>
      </c>
      <c r="I133" s="6" t="str">
        <f>APPRENANTS!I122</f>
        <v>Jorisjimenez@outlook.fr</v>
      </c>
      <c r="J133" s="6" t="str">
        <f>APPRENANTS!J122</f>
        <v>0777754770</v>
      </c>
      <c r="K133" s="6" t="str">
        <f>APPRENANTS!K122</f>
        <v/>
      </c>
      <c r="L133" s="11"/>
      <c r="M133" s="11"/>
      <c r="N133" s="6" t="str">
        <f>'WEDOF - EXAMEN FINAL'!D122</f>
        <v>A faire</v>
      </c>
      <c r="O133" s="6" t="str">
        <f>'WEDOF - EXAMEN FINAL'!E122</f>
        <v>A faire</v>
      </c>
      <c r="P133" s="6" t="str">
        <f>'WEDOF - EXAMEN FINAL'!H122</f>
        <v/>
      </c>
      <c r="Q133" s="6" t="str">
        <f>'WEDOF - EXAMEN FINAL'!F122</f>
        <v>A faire</v>
      </c>
      <c r="R133" s="11"/>
      <c r="S133" s="6">
        <f>'PAIEMENTS &amp; COMMISSIONS'!I122</f>
        <v>1500</v>
      </c>
      <c r="T133" s="6" t="b">
        <f t="shared" si="2"/>
        <v>1</v>
      </c>
      <c r="U133" s="6" t="b">
        <f t="shared" si="3"/>
        <v>0</v>
      </c>
      <c r="V133" s="11" t="b">
        <f t="shared" ref="V133:W133" si="123">FALSE()</f>
        <v>0</v>
      </c>
      <c r="W133" s="11" t="b">
        <f t="shared" si="123"/>
        <v>0</v>
      </c>
      <c r="X133" s="10" t="str">
        <f>APPRENANTS!Y122</f>
        <v>Oui</v>
      </c>
    </row>
    <row r="134" ht="15.0" customHeight="1">
      <c r="A134" s="6" t="str">
        <f>APPRENANTS!B123</f>
        <v>JIMENEZ Joris</v>
      </c>
      <c r="B134" s="6" t="str">
        <f>APPRENANTS!A123</f>
        <v>Proskills Institut</v>
      </c>
      <c r="C134" s="6" t="str">
        <f>APPRENANTS!C123</f>
        <v>frere karim</v>
      </c>
      <c r="D134" s="6" t="str">
        <f>APPRENANTS!G123</f>
        <v>Accepté</v>
      </c>
      <c r="E134" s="6" t="str">
        <f>APPRENANTS!D123</f>
        <v>Améliorer l'efficacité de sa TPE à l'aide de l'IA</v>
      </c>
      <c r="F134" s="6" t="str">
        <f>APPRENANTS!E123</f>
        <v>2026-07-06</v>
      </c>
      <c r="G134" s="6" t="str">
        <f>APPRENANTS!F123</f>
        <v>2026-07-11</v>
      </c>
      <c r="H134" s="6" t="str">
        <f>APPRENANTS!H123</f>
        <v>370 PARC Parc des amandiers 13170 LES PENNES MIRABEAU</v>
      </c>
      <c r="I134" s="6" t="str">
        <f>APPRENANTS!I123</f>
        <v>Jorisjimenez@outlook.fr</v>
      </c>
      <c r="J134" s="6" t="str">
        <f>APPRENANTS!J123</f>
        <v/>
      </c>
      <c r="K134" s="6" t="str">
        <f>APPRENANTS!K123</f>
        <v/>
      </c>
      <c r="L134" s="11"/>
      <c r="M134" s="11"/>
      <c r="N134" s="6" t="str">
        <f>'WEDOF - EXAMEN FINAL'!D123</f>
        <v>A faire</v>
      </c>
      <c r="O134" s="6" t="str">
        <f>'WEDOF - EXAMEN FINAL'!E123</f>
        <v>A faire</v>
      </c>
      <c r="P134" s="6" t="str">
        <f>'WEDOF - EXAMEN FINAL'!H123</f>
        <v/>
      </c>
      <c r="Q134" s="6" t="str">
        <f>'WEDOF - EXAMEN FINAL'!F123</f>
        <v>A faire</v>
      </c>
      <c r="R134" s="11"/>
      <c r="S134" s="6">
        <f>'PAIEMENTS &amp; COMMISSIONS'!I123</f>
        <v>1500</v>
      </c>
      <c r="T134" s="6" t="b">
        <f t="shared" si="2"/>
        <v>1</v>
      </c>
      <c r="U134" s="6" t="b">
        <f t="shared" si="3"/>
        <v>0</v>
      </c>
      <c r="V134" s="11" t="b">
        <f t="shared" ref="V134:W134" si="124">FALSE()</f>
        <v>0</v>
      </c>
      <c r="W134" s="11" t="b">
        <f t="shared" si="124"/>
        <v>0</v>
      </c>
      <c r="X134" s="10" t="str">
        <f>APPRENANTS!Y123</f>
        <v>Oui</v>
      </c>
    </row>
    <row r="135" ht="15.0" customHeight="1">
      <c r="A135" s="6" t="str">
        <f>APPRENANTS!B124</f>
        <v>MERAH Sarah</v>
      </c>
      <c r="B135" s="6" t="str">
        <f>APPRENANTS!A124</f>
        <v>Proskills Institut</v>
      </c>
      <c r="C135" s="6" t="str">
        <f>APPRENANTS!C124</f>
        <v>Jean</v>
      </c>
      <c r="D135" s="6" t="str">
        <f>APPRENANTS!G124</f>
        <v>Accepté</v>
      </c>
      <c r="E135" s="6" t="str">
        <f>APPRENANTS!D124</f>
        <v>Développer son activité avec l'intelligence artificielle</v>
      </c>
      <c r="F135" s="6" t="str">
        <f>APPRENANTS!E124</f>
        <v>2026-06-29</v>
      </c>
      <c r="G135" s="6" t="str">
        <f>APPRENANTS!F124</f>
        <v>2026-07-04</v>
      </c>
      <c r="H135" s="6" t="str">
        <f>APPRENANTS!H124</f>
        <v>75 RUE De la joliette 13002 MARSEILLE</v>
      </c>
      <c r="I135" s="6" t="str">
        <f>APPRENANTS!I124</f>
        <v>sarirou@icloud.com</v>
      </c>
      <c r="J135" s="6" t="str">
        <f>APPRENANTS!J124</f>
        <v>0698791399</v>
      </c>
      <c r="K135" s="6" t="str">
        <f>APPRENANTS!K124</f>
        <v/>
      </c>
      <c r="L135" s="11"/>
      <c r="M135" s="11"/>
      <c r="N135" s="6" t="str">
        <f>'WEDOF - EXAMEN FINAL'!D124</f>
        <v>A faire</v>
      </c>
      <c r="O135" s="6" t="str">
        <f>'WEDOF - EXAMEN FINAL'!E124</f>
        <v>A faire</v>
      </c>
      <c r="P135" s="6" t="str">
        <f>'WEDOF - EXAMEN FINAL'!H124</f>
        <v/>
      </c>
      <c r="Q135" s="6" t="str">
        <f>'WEDOF - EXAMEN FINAL'!F124</f>
        <v>A faire</v>
      </c>
      <c r="R135" s="11"/>
      <c r="S135" s="6">
        <f>'PAIEMENTS &amp; COMMISSIONS'!I124</f>
        <v>1500</v>
      </c>
      <c r="T135" s="6" t="b">
        <f t="shared" si="2"/>
        <v>1</v>
      </c>
      <c r="U135" s="6" t="b">
        <f t="shared" si="3"/>
        <v>0</v>
      </c>
      <c r="V135" s="11" t="b">
        <f t="shared" ref="V135:W135" si="125">FALSE()</f>
        <v>0</v>
      </c>
      <c r="W135" s="11" t="b">
        <f t="shared" si="125"/>
        <v>0</v>
      </c>
      <c r="X135" s="10" t="str">
        <f>APPRENANTS!Y124</f>
        <v>Oui</v>
      </c>
    </row>
    <row r="136" ht="15.0" customHeight="1">
      <c r="A136" s="6" t="str">
        <f>APPRENANTS!B125</f>
        <v>TORRES Aurore</v>
      </c>
      <c r="B136" s="6" t="str">
        <f>APPRENANTS!A125</f>
        <v>Proskills Institut</v>
      </c>
      <c r="C136" s="6" t="str">
        <f>APPRENANTS!C125</f>
        <v>GRAS</v>
      </c>
      <c r="D136" s="6" t="str">
        <f>APPRENANTS!G125</f>
        <v>Accepté</v>
      </c>
      <c r="E136" s="6" t="str">
        <f>APPRENANTS!D125</f>
        <v>Développer son activité avec l'intelligence artificielle</v>
      </c>
      <c r="F136" s="6" t="str">
        <f>APPRENANTS!E125</f>
        <v>2026-06-29</v>
      </c>
      <c r="G136" s="6" t="str">
        <f>APPRENANTS!F125</f>
        <v>2026-07-04</v>
      </c>
      <c r="H136" s="6" t="str">
        <f>APPRENANTS!H125</f>
        <v>AV Batistin raphael 13240 SEPTEMES LES VALLONS</v>
      </c>
      <c r="I136" s="6" t="str">
        <f>APPRENANTS!I125</f>
        <v>laurette13240@hotmail.fr</v>
      </c>
      <c r="J136" s="6" t="str">
        <f>APPRENANTS!J125</f>
        <v>0660080861</v>
      </c>
      <c r="K136" s="6" t="str">
        <f>APPRENANTS!K125</f>
        <v/>
      </c>
      <c r="L136" s="11"/>
      <c r="M136" s="11"/>
      <c r="N136" s="6" t="str">
        <f>'WEDOF - EXAMEN FINAL'!D125</f>
        <v>A faire</v>
      </c>
      <c r="O136" s="6" t="str">
        <f>'WEDOF - EXAMEN FINAL'!E125</f>
        <v>A faire</v>
      </c>
      <c r="P136" s="6" t="str">
        <f>'WEDOF - EXAMEN FINAL'!H125</f>
        <v/>
      </c>
      <c r="Q136" s="6" t="str">
        <f>'WEDOF - EXAMEN FINAL'!F125</f>
        <v>A faire</v>
      </c>
      <c r="R136" s="11"/>
      <c r="S136" s="6">
        <f>'PAIEMENTS &amp; COMMISSIONS'!I125</f>
        <v>1500</v>
      </c>
      <c r="T136" s="6" t="b">
        <f t="shared" si="2"/>
        <v>1</v>
      </c>
      <c r="U136" s="6" t="b">
        <f t="shared" si="3"/>
        <v>0</v>
      </c>
      <c r="V136" s="11" t="b">
        <f t="shared" ref="V136:W136" si="126">FALSE()</f>
        <v>0</v>
      </c>
      <c r="W136" s="11" t="b">
        <f t="shared" si="126"/>
        <v>0</v>
      </c>
      <c r="X136" s="10" t="str">
        <f>APPRENANTS!Y125</f>
        <v>Oui</v>
      </c>
    </row>
    <row r="137" ht="15.0" customHeight="1">
      <c r="A137" s="6" t="str">
        <f>APPRENANTS!B126</f>
        <v>MAKHLOUF Ahmed</v>
      </c>
      <c r="B137" s="6" t="str">
        <f>APPRENANTS!A126</f>
        <v>Proskills Institut</v>
      </c>
      <c r="C137" s="6" t="str">
        <f>APPRENANTS!C126</f>
        <v>Sabri</v>
      </c>
      <c r="D137" s="6" t="str">
        <f>APPRENANTS!G126</f>
        <v>Accepté</v>
      </c>
      <c r="E137" s="6" t="str">
        <f>APPRENANTS!D126</f>
        <v>Communiquer sur les réseaux sociaux pour promouvoir sa TPE</v>
      </c>
      <c r="F137" s="6" t="str">
        <f>APPRENANTS!E126</f>
        <v>2026-06-29</v>
      </c>
      <c r="G137" s="6" t="str">
        <f>APPRENANTS!F126</f>
        <v>2026-07-04</v>
      </c>
      <c r="H137" s="6" t="str">
        <f>APPRENANTS!H126</f>
        <v>RUE Des galaxies 13015 MARSEILLE</v>
      </c>
      <c r="I137" s="6" t="str">
        <f>APPRENANTS!I126</f>
        <v>makamed@laposte.net</v>
      </c>
      <c r="J137" s="6" t="str">
        <f>APPRENANTS!J126</f>
        <v>0616135827</v>
      </c>
      <c r="K137" s="6" t="str">
        <f>APPRENANTS!K126</f>
        <v/>
      </c>
      <c r="L137" s="11"/>
      <c r="M137" s="11"/>
      <c r="N137" s="6" t="str">
        <f>'WEDOF - EXAMEN FINAL'!D126</f>
        <v>A faire</v>
      </c>
      <c r="O137" s="6" t="str">
        <f>'WEDOF - EXAMEN FINAL'!E126</f>
        <v>A faire</v>
      </c>
      <c r="P137" s="6" t="str">
        <f>'WEDOF - EXAMEN FINAL'!H126</f>
        <v/>
      </c>
      <c r="Q137" s="6" t="str">
        <f>'WEDOF - EXAMEN FINAL'!F126</f>
        <v>A faire</v>
      </c>
      <c r="R137" s="11"/>
      <c r="S137" s="6">
        <f>'PAIEMENTS &amp; COMMISSIONS'!I126</f>
        <v>1500</v>
      </c>
      <c r="T137" s="6" t="b">
        <f t="shared" si="2"/>
        <v>1</v>
      </c>
      <c r="U137" s="6" t="b">
        <f t="shared" si="3"/>
        <v>0</v>
      </c>
      <c r="V137" s="11" t="b">
        <f t="shared" ref="V137:W137" si="127">FALSE()</f>
        <v>0</v>
      </c>
      <c r="W137" s="11" t="b">
        <f t="shared" si="127"/>
        <v>0</v>
      </c>
      <c r="X137" s="10" t="str">
        <f>APPRENANTS!Y126</f>
        <v>Oui</v>
      </c>
    </row>
    <row r="138" ht="15.0" customHeight="1">
      <c r="A138" s="6" t="str">
        <f>APPRENANTS!B127</f>
        <v>MAKHLOUF Ahmed</v>
      </c>
      <c r="B138" s="6" t="str">
        <f>APPRENANTS!A127</f>
        <v>Proskills Institut</v>
      </c>
      <c r="C138" s="6" t="str">
        <f>APPRENANTS!C127</f>
        <v>Sabri</v>
      </c>
      <c r="D138" s="6" t="str">
        <f>APPRENANTS!G127</f>
        <v>Accepté</v>
      </c>
      <c r="E138" s="6" t="str">
        <f>APPRENANTS!D127</f>
        <v>Améliorer l'efficacité de sa TPE à l'aide de l'IA</v>
      </c>
      <c r="F138" s="6" t="str">
        <f>APPRENANTS!E127</f>
        <v>2026-07-06</v>
      </c>
      <c r="G138" s="6" t="str">
        <f>APPRENANTS!F127</f>
        <v>2026-07-11</v>
      </c>
      <c r="H138" s="6" t="str">
        <f>APPRENANTS!H127</f>
        <v/>
      </c>
      <c r="I138" s="6" t="str">
        <f>APPRENANTS!I127</f>
        <v/>
      </c>
      <c r="J138" s="6" t="str">
        <f>APPRENANTS!J127</f>
        <v/>
      </c>
      <c r="K138" s="6" t="str">
        <f>APPRENANTS!K127</f>
        <v/>
      </c>
      <c r="L138" s="11"/>
      <c r="M138" s="11"/>
      <c r="N138" s="6" t="str">
        <f>'WEDOF - EXAMEN FINAL'!D127</f>
        <v>A faire</v>
      </c>
      <c r="O138" s="6" t="str">
        <f>'WEDOF - EXAMEN FINAL'!E127</f>
        <v>A faire</v>
      </c>
      <c r="P138" s="6" t="str">
        <f>'WEDOF - EXAMEN FINAL'!H127</f>
        <v/>
      </c>
      <c r="Q138" s="6" t="str">
        <f>'WEDOF - EXAMEN FINAL'!F127</f>
        <v>A faire</v>
      </c>
      <c r="R138" s="11"/>
      <c r="S138" s="6">
        <f>'PAIEMENTS &amp; COMMISSIONS'!I127</f>
        <v>1500</v>
      </c>
      <c r="T138" s="6" t="b">
        <f t="shared" si="2"/>
        <v>1</v>
      </c>
      <c r="U138" s="6" t="b">
        <f t="shared" si="3"/>
        <v>0</v>
      </c>
      <c r="V138" s="11" t="b">
        <f t="shared" ref="V138:W138" si="128">FALSE()</f>
        <v>0</v>
      </c>
      <c r="W138" s="11" t="b">
        <f t="shared" si="128"/>
        <v>0</v>
      </c>
      <c r="X138" s="10" t="str">
        <f>APPRENANTS!Y127</f>
        <v>Oui</v>
      </c>
    </row>
    <row r="139" ht="15.0" customHeight="1">
      <c r="A139" s="6" t="str">
        <f>APPRENANTS!B128</f>
        <v>MAKHLOUF Ahmed</v>
      </c>
      <c r="B139" s="6" t="str">
        <f>APPRENANTS!A128</f>
        <v>Proskills Institut</v>
      </c>
      <c r="C139" s="6" t="str">
        <f>APPRENANTS!C128</f>
        <v>Sabri</v>
      </c>
      <c r="D139" s="6" t="str">
        <f>APPRENANTS!G128</f>
        <v>Accepté</v>
      </c>
      <c r="E139" s="6" t="str">
        <f>APPRENANTS!D128</f>
        <v>Réaliser les opérations comptables courantes d'une TPE</v>
      </c>
      <c r="F139" s="6" t="str">
        <f>APPRENANTS!E128</f>
        <v>2026-07-13</v>
      </c>
      <c r="G139" s="6" t="str">
        <f>APPRENANTS!F128</f>
        <v>2026-07-18</v>
      </c>
      <c r="H139" s="6" t="str">
        <f>APPRENANTS!H128</f>
        <v/>
      </c>
      <c r="I139" s="6" t="str">
        <f>APPRENANTS!I128</f>
        <v/>
      </c>
      <c r="J139" s="6" t="str">
        <f>APPRENANTS!J128</f>
        <v/>
      </c>
      <c r="K139" s="6" t="str">
        <f>APPRENANTS!K128</f>
        <v/>
      </c>
      <c r="L139" s="11"/>
      <c r="M139" s="11"/>
      <c r="N139" s="6" t="str">
        <f>'WEDOF - EXAMEN FINAL'!D128</f>
        <v>A faire</v>
      </c>
      <c r="O139" s="6" t="str">
        <f>'WEDOF - EXAMEN FINAL'!E128</f>
        <v>A faire</v>
      </c>
      <c r="P139" s="6" t="str">
        <f>'WEDOF - EXAMEN FINAL'!H128</f>
        <v/>
      </c>
      <c r="Q139" s="6" t="str">
        <f>'WEDOF - EXAMEN FINAL'!F128</f>
        <v>A faire</v>
      </c>
      <c r="R139" s="11"/>
      <c r="S139" s="6">
        <f>'PAIEMENTS &amp; COMMISSIONS'!I128</f>
        <v>1500</v>
      </c>
      <c r="T139" s="6" t="b">
        <f t="shared" si="2"/>
        <v>1</v>
      </c>
      <c r="U139" s="6" t="b">
        <f t="shared" si="3"/>
        <v>0</v>
      </c>
      <c r="V139" s="11" t="b">
        <f t="shared" ref="V139:W139" si="129">FALSE()</f>
        <v>0</v>
      </c>
      <c r="W139" s="11" t="b">
        <f t="shared" si="129"/>
        <v>0</v>
      </c>
      <c r="X139" s="10" t="str">
        <f>APPRENANTS!Y128</f>
        <v>Oui</v>
      </c>
    </row>
    <row r="140" ht="15.0" customHeight="1">
      <c r="A140" s="6" t="str">
        <f>APPRENANTS!B129</f>
        <v>BOUMEZIOUD Nassim</v>
      </c>
      <c r="B140" s="6" t="str">
        <f>APPRENANTS!A129</f>
        <v>Proskills Institut</v>
      </c>
      <c r="C140" s="6" t="str">
        <f>APPRENANTS!C129</f>
        <v>Sabri</v>
      </c>
      <c r="D140" s="6" t="str">
        <f>APPRENANTS!G129</f>
        <v>Accepté</v>
      </c>
      <c r="E140" s="6" t="str">
        <f>APPRENANTS!D129</f>
        <v>Communiquer sur les réseaux sociaux pour promouvoir sa TPE</v>
      </c>
      <c r="F140" s="6" t="str">
        <f>APPRENANTS!E129</f>
        <v>2026-06-29</v>
      </c>
      <c r="G140" s="6" t="str">
        <f>APPRENANTS!F129</f>
        <v>2026-07-04</v>
      </c>
      <c r="H140" s="6" t="str">
        <f>APPRENANTS!H129</f>
        <v>2 RUE Rue Jaume 13220 CHATEAUNEUF LES MARTIGUES</v>
      </c>
      <c r="I140" s="6" t="str">
        <f>APPRENANTS!I129</f>
        <v>nassimboumezioud@gmail.com</v>
      </c>
      <c r="J140" s="6" t="str">
        <f>APPRENANTS!J129</f>
        <v>0625126277</v>
      </c>
      <c r="K140" s="6" t="str">
        <f>APPRENANTS!K129</f>
        <v/>
      </c>
      <c r="L140" s="11"/>
      <c r="M140" s="11"/>
      <c r="N140" s="6" t="str">
        <f>'WEDOF - EXAMEN FINAL'!D129</f>
        <v>A faire</v>
      </c>
      <c r="O140" s="6" t="str">
        <f>'WEDOF - EXAMEN FINAL'!E129</f>
        <v>A faire</v>
      </c>
      <c r="P140" s="6" t="str">
        <f>'WEDOF - EXAMEN FINAL'!H129</f>
        <v/>
      </c>
      <c r="Q140" s="6" t="str">
        <f>'WEDOF - EXAMEN FINAL'!F129</f>
        <v>A faire</v>
      </c>
      <c r="R140" s="11"/>
      <c r="S140" s="6">
        <f>'PAIEMENTS &amp; COMMISSIONS'!I129</f>
        <v>1500</v>
      </c>
      <c r="T140" s="6" t="b">
        <f t="shared" si="2"/>
        <v>1</v>
      </c>
      <c r="U140" s="6" t="b">
        <f t="shared" si="3"/>
        <v>0</v>
      </c>
      <c r="V140" s="11" t="b">
        <f t="shared" ref="V140:W140" si="130">FALSE()</f>
        <v>0</v>
      </c>
      <c r="W140" s="11" t="b">
        <f t="shared" si="130"/>
        <v>0</v>
      </c>
      <c r="X140" s="10" t="str">
        <f>APPRENANTS!Y129</f>
        <v>Oui</v>
      </c>
    </row>
    <row r="141" ht="15.0" customHeight="1">
      <c r="A141" s="6" t="str">
        <f>APPRENANTS!B130</f>
        <v>BOUMEZIOUD Nassim</v>
      </c>
      <c r="B141" s="6" t="str">
        <f>APPRENANTS!A130</f>
        <v>Proskills Institut</v>
      </c>
      <c r="C141" s="6" t="str">
        <f>APPRENANTS!C130</f>
        <v>Sabri</v>
      </c>
      <c r="D141" s="6" t="str">
        <f>APPRENANTS!G130</f>
        <v>Accepté</v>
      </c>
      <c r="E141" s="6" t="str">
        <f>APPRENANTS!D130</f>
        <v>Réaliser les opérations comptables courantes d'une TPE</v>
      </c>
      <c r="F141" s="6" t="str">
        <f>APPRENANTS!E130</f>
        <v>2026-07-13</v>
      </c>
      <c r="G141" s="6" t="str">
        <f>APPRENANTS!F130</f>
        <v>2026-07-18</v>
      </c>
      <c r="H141" s="6" t="str">
        <f>APPRENANTS!H130</f>
        <v/>
      </c>
      <c r="I141" s="6" t="str">
        <f>APPRENANTS!I130</f>
        <v/>
      </c>
      <c r="J141" s="6" t="str">
        <f>APPRENANTS!J130</f>
        <v/>
      </c>
      <c r="K141" s="6" t="str">
        <f>APPRENANTS!K130</f>
        <v/>
      </c>
      <c r="L141" s="11"/>
      <c r="M141" s="11"/>
      <c r="N141" s="6" t="str">
        <f>'WEDOF - EXAMEN FINAL'!D130</f>
        <v>A faire</v>
      </c>
      <c r="O141" s="6" t="str">
        <f>'WEDOF - EXAMEN FINAL'!E130</f>
        <v>A faire</v>
      </c>
      <c r="P141" s="6" t="str">
        <f>'WEDOF - EXAMEN FINAL'!H130</f>
        <v/>
      </c>
      <c r="Q141" s="6" t="str">
        <f>'WEDOF - EXAMEN FINAL'!F130</f>
        <v>A faire</v>
      </c>
      <c r="R141" s="11"/>
      <c r="S141" s="6">
        <f>'PAIEMENTS &amp; COMMISSIONS'!I130</f>
        <v>1500</v>
      </c>
      <c r="T141" s="6" t="b">
        <f t="shared" si="2"/>
        <v>1</v>
      </c>
      <c r="U141" s="6" t="b">
        <f t="shared" si="3"/>
        <v>0</v>
      </c>
      <c r="V141" s="11" t="b">
        <f t="shared" ref="V141:W141" si="131">FALSE()</f>
        <v>0</v>
      </c>
      <c r="W141" s="11" t="b">
        <f t="shared" si="131"/>
        <v>0</v>
      </c>
      <c r="X141" s="10" t="str">
        <f>APPRENANTS!Y130</f>
        <v>Oui</v>
      </c>
    </row>
    <row r="142" ht="15.0" customHeight="1">
      <c r="A142" s="6" t="str">
        <f>APPRENANTS!B131</f>
        <v>ESPINEIRA Bryan</v>
      </c>
      <c r="B142" s="6" t="str">
        <f>APPRENANTS!A131</f>
        <v>Proskills Institut</v>
      </c>
      <c r="C142" s="6" t="str">
        <f>APPRENANTS!C131</f>
        <v>Djody</v>
      </c>
      <c r="D142" s="6" t="str">
        <f>APPRENANTS!G131</f>
        <v>Accepté</v>
      </c>
      <c r="E142" s="6" t="str">
        <f>APPRENANTS!D131</f>
        <v>Développer son activité avec l'intelligence artificielle</v>
      </c>
      <c r="F142" s="6" t="str">
        <f>APPRENANTS!E131</f>
        <v>2026-06-29</v>
      </c>
      <c r="G142" s="6" t="str">
        <f>APPRENANTS!F131</f>
        <v>2026-07-04</v>
      </c>
      <c r="H142" s="6" t="str">
        <f>APPRENANTS!H131</f>
        <v>4 IMP Florent Evrard 62220 CARVIN</v>
      </c>
      <c r="I142" s="6" t="str">
        <f>APPRENANTS!I131</f>
        <v>espineira.b@gmail.com</v>
      </c>
      <c r="J142" s="6" t="str">
        <f>APPRENANTS!J131</f>
        <v>0663741170</v>
      </c>
      <c r="K142" s="6" t="str">
        <f>APPRENANTS!K131</f>
        <v/>
      </c>
      <c r="L142" s="11"/>
      <c r="M142" s="11"/>
      <c r="N142" s="6" t="str">
        <f>'WEDOF - EXAMEN FINAL'!D131</f>
        <v>A faire</v>
      </c>
      <c r="O142" s="6" t="str">
        <f>'WEDOF - EXAMEN FINAL'!E131</f>
        <v>A faire</v>
      </c>
      <c r="P142" s="6" t="str">
        <f>'WEDOF - EXAMEN FINAL'!H131</f>
        <v/>
      </c>
      <c r="Q142" s="6" t="str">
        <f>'WEDOF - EXAMEN FINAL'!F131</f>
        <v>A faire</v>
      </c>
      <c r="R142" s="11"/>
      <c r="S142" s="6">
        <f>'PAIEMENTS &amp; COMMISSIONS'!I131</f>
        <v>1500</v>
      </c>
      <c r="T142" s="6" t="b">
        <f t="shared" si="2"/>
        <v>1</v>
      </c>
      <c r="U142" s="6" t="b">
        <f t="shared" si="3"/>
        <v>0</v>
      </c>
      <c r="V142" s="11" t="b">
        <f t="shared" ref="V142:W142" si="132">FALSE()</f>
        <v>0</v>
      </c>
      <c r="W142" s="11" t="b">
        <f t="shared" si="132"/>
        <v>0</v>
      </c>
      <c r="X142" s="10" t="str">
        <f>APPRENANTS!Y131</f>
        <v>Oui</v>
      </c>
    </row>
    <row r="143" ht="15.0" customHeight="1">
      <c r="A143" s="6" t="str">
        <f>APPRENANTS!B132</f>
        <v>EL ARBAOUI Salwa</v>
      </c>
      <c r="B143" s="6" t="str">
        <f>APPRENANTS!A132</f>
        <v>Proskills Institut</v>
      </c>
      <c r="C143" s="6" t="str">
        <f>APPRENANTS!C132</f>
        <v>Djody</v>
      </c>
      <c r="D143" s="6" t="str">
        <f>APPRENANTS!G132</f>
        <v>Accepté</v>
      </c>
      <c r="E143" s="6" t="str">
        <f>APPRENANTS!D132</f>
        <v>Réaliser les opérations comptables courantes d'une TPE E-LEARNING</v>
      </c>
      <c r="F143" s="6" t="str">
        <f>APPRENANTS!E132</f>
        <v>2026-06-24</v>
      </c>
      <c r="G143" s="6" t="str">
        <f>APPRENANTS!F132</f>
        <v>2026-07-24</v>
      </c>
      <c r="H143" s="6" t="str">
        <f>APPRENANTS!H132</f>
        <v>70 RUE Glenmor 35410 CHATEAUGIRON</v>
      </c>
      <c r="I143" s="6" t="str">
        <f>APPRENANTS!I132</f>
        <v>salwaelarbaoui@gmail.com</v>
      </c>
      <c r="J143" s="6" t="str">
        <f>APPRENANTS!J132</f>
        <v>767868281</v>
      </c>
      <c r="K143" s="6" t="str">
        <f>APPRENANTS!K132</f>
        <v/>
      </c>
      <c r="L143" s="11"/>
      <c r="M143" s="11"/>
      <c r="N143" s="6" t="str">
        <f>'WEDOF - EXAMEN FINAL'!D132</f>
        <v>A faire</v>
      </c>
      <c r="O143" s="6" t="str">
        <f>'WEDOF - EXAMEN FINAL'!E132</f>
        <v>A faire</v>
      </c>
      <c r="P143" s="6" t="str">
        <f>'WEDOF - EXAMEN FINAL'!H132</f>
        <v/>
      </c>
      <c r="Q143" s="6" t="str">
        <f>'WEDOF - EXAMEN FINAL'!F132</f>
        <v>A faire</v>
      </c>
      <c r="R143" s="11"/>
      <c r="S143" s="6">
        <f>'PAIEMENTS &amp; COMMISSIONS'!I132</f>
        <v>1500</v>
      </c>
      <c r="T143" s="6" t="b">
        <f t="shared" si="2"/>
        <v>1</v>
      </c>
      <c r="U143" s="6" t="b">
        <f t="shared" si="3"/>
        <v>0</v>
      </c>
      <c r="V143" s="11" t="b">
        <f t="shared" ref="V143:W143" si="133">FALSE()</f>
        <v>0</v>
      </c>
      <c r="W143" s="11" t="b">
        <f t="shared" si="133"/>
        <v>0</v>
      </c>
      <c r="X143" s="10" t="str">
        <f>APPRENANTS!Y132</f>
        <v>Oui</v>
      </c>
    </row>
    <row r="144" ht="15.0" customHeight="1">
      <c r="A144" s="6" t="str">
        <f>APPRENANTS!B133</f>
        <v>MAECHA Ismail</v>
      </c>
      <c r="B144" s="6" t="str">
        <f>APPRENANTS!A133</f>
        <v>Proskills Institut</v>
      </c>
      <c r="C144" s="6" t="str">
        <f>APPRENANTS!C133</f>
        <v>Sabri</v>
      </c>
      <c r="D144" s="6" t="str">
        <f>APPRENANTS!G133</f>
        <v>Accepté</v>
      </c>
      <c r="E144" s="6" t="str">
        <f>APPRENANTS!D133</f>
        <v>Améliorer l'efficacité de sa TPE à l'aide de l'IA</v>
      </c>
      <c r="F144" s="6" t="str">
        <f>APPRENANTS!E133</f>
        <v>2026-07-27</v>
      </c>
      <c r="G144" s="6" t="str">
        <f>APPRENANTS!F133</f>
        <v>2026-08-01</v>
      </c>
      <c r="H144" s="6" t="str">
        <f>APPRENANTS!H133</f>
        <v>17 QUA 17 rue Lucien rolmer 13003 MARSEILLE</v>
      </c>
      <c r="I144" s="6" t="str">
        <f>APPRENANTS!I133</f>
        <v>ismasaifi@outlook.fr</v>
      </c>
      <c r="J144" s="6" t="str">
        <f>APPRENANTS!J133</f>
        <v>0668612858</v>
      </c>
      <c r="K144" s="6" t="str">
        <f>APPRENANTS!K133</f>
        <v/>
      </c>
      <c r="L144" s="11"/>
      <c r="M144" s="11"/>
      <c r="N144" s="6" t="str">
        <f>'WEDOF - EXAMEN FINAL'!D133</f>
        <v>A faire</v>
      </c>
      <c r="O144" s="6" t="str">
        <f>'WEDOF - EXAMEN FINAL'!E133</f>
        <v>A faire</v>
      </c>
      <c r="P144" s="6" t="str">
        <f>'WEDOF - EXAMEN FINAL'!H133</f>
        <v/>
      </c>
      <c r="Q144" s="6" t="str">
        <f>'WEDOF - EXAMEN FINAL'!F133</f>
        <v>A faire</v>
      </c>
      <c r="R144" s="11"/>
      <c r="S144" s="6">
        <f>'PAIEMENTS &amp; COMMISSIONS'!I133</f>
        <v>1500</v>
      </c>
      <c r="T144" s="6" t="b">
        <f t="shared" si="2"/>
        <v>1</v>
      </c>
      <c r="U144" s="6" t="b">
        <f t="shared" si="3"/>
        <v>0</v>
      </c>
      <c r="V144" s="11" t="b">
        <f t="shared" ref="V144:W144" si="134">FALSE()</f>
        <v>0</v>
      </c>
      <c r="W144" s="11" t="b">
        <f t="shared" si="134"/>
        <v>0</v>
      </c>
      <c r="X144" s="10" t="str">
        <f>APPRENANTS!Y133</f>
        <v>Oui</v>
      </c>
    </row>
    <row r="145" ht="15.0" customHeight="1">
      <c r="A145" s="6" t="str">
        <f>APPRENANTS!B134</f>
        <v>MAECHA Ismail</v>
      </c>
      <c r="B145" s="6" t="str">
        <f>APPRENANTS!A134</f>
        <v>Proskills Institut</v>
      </c>
      <c r="C145" s="6" t="str">
        <f>APPRENANTS!C134</f>
        <v>Sabri</v>
      </c>
      <c r="D145" s="6" t="str">
        <f>APPRENANTS!G134</f>
        <v>Accepté</v>
      </c>
      <c r="E145" s="6" t="str">
        <f>APPRENANTS!D134</f>
        <v>Communiquer sur les réseaux sociaux pour promouvoir sa TPE</v>
      </c>
      <c r="F145" s="6" t="str">
        <f>APPRENANTS!E134</f>
        <v>2026-08-03</v>
      </c>
      <c r="G145" s="6" t="str">
        <f>APPRENANTS!F134</f>
        <v>2026-08-08</v>
      </c>
      <c r="H145" s="6" t="str">
        <f>APPRENANTS!H134</f>
        <v>17 QUA 17 rue Lucien rolmer 13003 MARSEILLE</v>
      </c>
      <c r="I145" s="6" t="str">
        <f>APPRENANTS!I134</f>
        <v/>
      </c>
      <c r="J145" s="6" t="str">
        <f>APPRENANTS!J134</f>
        <v/>
      </c>
      <c r="K145" s="6" t="str">
        <f>APPRENANTS!K134</f>
        <v/>
      </c>
      <c r="L145" s="11"/>
      <c r="M145" s="11"/>
      <c r="N145" s="6" t="str">
        <f>'WEDOF - EXAMEN FINAL'!D134</f>
        <v>A faire</v>
      </c>
      <c r="O145" s="6" t="str">
        <f>'WEDOF - EXAMEN FINAL'!E134</f>
        <v>A faire</v>
      </c>
      <c r="P145" s="6" t="str">
        <f>'WEDOF - EXAMEN FINAL'!H134</f>
        <v/>
      </c>
      <c r="Q145" s="6" t="str">
        <f>'WEDOF - EXAMEN FINAL'!F134</f>
        <v>A faire</v>
      </c>
      <c r="R145" s="11"/>
      <c r="S145" s="6">
        <f>'PAIEMENTS &amp; COMMISSIONS'!I134</f>
        <v>1500</v>
      </c>
      <c r="T145" s="6" t="b">
        <f t="shared" si="2"/>
        <v>1</v>
      </c>
      <c r="U145" s="6" t="b">
        <f t="shared" si="3"/>
        <v>0</v>
      </c>
      <c r="V145" s="11" t="b">
        <f t="shared" ref="V145:W145" si="135">FALSE()</f>
        <v>0</v>
      </c>
      <c r="W145" s="11" t="b">
        <f t="shared" si="135"/>
        <v>0</v>
      </c>
      <c r="X145" s="10" t="str">
        <f>APPRENANTS!Y134</f>
        <v>Oui</v>
      </c>
    </row>
    <row r="146" ht="15.0" customHeight="1">
      <c r="A146" s="6" t="str">
        <f>APPRENANTS!B135</f>
        <v>VARDANYAN Irina</v>
      </c>
      <c r="B146" s="6" t="str">
        <f>APPRENANTS!A135</f>
        <v>Proskills Institut</v>
      </c>
      <c r="C146" s="6" t="str">
        <f>APPRENANTS!C135</f>
        <v>Sabri</v>
      </c>
      <c r="D146" s="6" t="str">
        <f>APPRENANTS!G135</f>
        <v>Accepté</v>
      </c>
      <c r="E146" s="6" t="str">
        <f>APPRENANTS!D135</f>
        <v>Améliorer l'efficacité de sa TPE à l'aide de l'IA</v>
      </c>
      <c r="F146" s="6" t="str">
        <f>APPRENANTS!E135</f>
        <v>2026-07-27</v>
      </c>
      <c r="G146" s="6" t="str">
        <f>APPRENANTS!F135</f>
        <v>2026-08-01</v>
      </c>
      <c r="H146" s="6" t="str">
        <f>APPRENANTS!H135</f>
        <v>24 RUE Marengo  13006 MARSEILLE</v>
      </c>
      <c r="I146" s="6" t="str">
        <f>APPRENANTS!I135</f>
        <v>manu.schianchi@gmail.com</v>
      </c>
      <c r="J146" s="6" t="str">
        <f>APPRENANTS!J135</f>
        <v>0666482176</v>
      </c>
      <c r="K146" s="6" t="str">
        <f>APPRENANTS!K135</f>
        <v/>
      </c>
      <c r="L146" s="11"/>
      <c r="M146" s="11"/>
      <c r="N146" s="6" t="str">
        <f>'WEDOF - EXAMEN FINAL'!D135</f>
        <v>A faire</v>
      </c>
      <c r="O146" s="6" t="str">
        <f>'WEDOF - EXAMEN FINAL'!E135</f>
        <v>A faire</v>
      </c>
      <c r="P146" s="6" t="str">
        <f>'WEDOF - EXAMEN FINAL'!H135</f>
        <v/>
      </c>
      <c r="Q146" s="6" t="str">
        <f>'WEDOF - EXAMEN FINAL'!F135</f>
        <v>A faire</v>
      </c>
      <c r="R146" s="11"/>
      <c r="S146" s="6">
        <f>'PAIEMENTS &amp; COMMISSIONS'!I135</f>
        <v>1500</v>
      </c>
      <c r="T146" s="6" t="b">
        <f t="shared" si="2"/>
        <v>1</v>
      </c>
      <c r="U146" s="6" t="b">
        <f t="shared" si="3"/>
        <v>0</v>
      </c>
      <c r="V146" s="11" t="b">
        <f t="shared" ref="V146:W146" si="136">FALSE()</f>
        <v>0</v>
      </c>
      <c r="W146" s="11" t="b">
        <f t="shared" si="136"/>
        <v>0</v>
      </c>
      <c r="X146" s="10" t="str">
        <f>APPRENANTS!Y135</f>
        <v>Oui</v>
      </c>
    </row>
    <row r="147" ht="15.0" customHeight="1">
      <c r="A147" s="6" t="str">
        <f>APPRENANTS!B136</f>
        <v>VARDANYAN Irina</v>
      </c>
      <c r="B147" s="6" t="str">
        <f>APPRENANTS!A136</f>
        <v>Proskills Institut</v>
      </c>
      <c r="C147" s="6" t="str">
        <f>APPRENANTS!C136</f>
        <v>Sabri</v>
      </c>
      <c r="D147" s="6" t="str">
        <f>APPRENANTS!G136</f>
        <v>Accepté</v>
      </c>
      <c r="E147" s="6" t="str">
        <f>APPRENANTS!D136</f>
        <v>Communiquer sur les réseaux sociaux pour promouvoir sa TPE</v>
      </c>
      <c r="F147" s="6" t="str">
        <f>APPRENANTS!E136</f>
        <v>2026-08-03</v>
      </c>
      <c r="G147" s="6" t="str">
        <f>APPRENANTS!F136</f>
        <v>2026-08-08</v>
      </c>
      <c r="H147" s="6" t="str">
        <f>APPRENANTS!H136</f>
        <v>24 RUE Marengo  13006 MARSEILLE</v>
      </c>
      <c r="I147" s="6" t="str">
        <f>APPRENANTS!I136</f>
        <v/>
      </c>
      <c r="J147" s="6" t="str">
        <f>APPRENANTS!J136</f>
        <v/>
      </c>
      <c r="K147" s="6" t="str">
        <f>APPRENANTS!K136</f>
        <v/>
      </c>
      <c r="L147" s="11"/>
      <c r="M147" s="11"/>
      <c r="N147" s="6" t="str">
        <f>'WEDOF - EXAMEN FINAL'!D136</f>
        <v>A faire</v>
      </c>
      <c r="O147" s="6" t="str">
        <f>'WEDOF - EXAMEN FINAL'!E136</f>
        <v>A faire</v>
      </c>
      <c r="P147" s="6" t="str">
        <f>'WEDOF - EXAMEN FINAL'!H136</f>
        <v/>
      </c>
      <c r="Q147" s="6" t="str">
        <f>'WEDOF - EXAMEN FINAL'!F136</f>
        <v>A faire</v>
      </c>
      <c r="R147" s="11"/>
      <c r="S147" s="6">
        <f>'PAIEMENTS &amp; COMMISSIONS'!I136</f>
        <v>1500</v>
      </c>
      <c r="T147" s="6" t="b">
        <f t="shared" si="2"/>
        <v>1</v>
      </c>
      <c r="U147" s="6" t="b">
        <f t="shared" si="3"/>
        <v>0</v>
      </c>
      <c r="V147" s="11" t="b">
        <f t="shared" ref="V147:W147" si="137">FALSE()</f>
        <v>0</v>
      </c>
      <c r="W147" s="11" t="b">
        <f t="shared" si="137"/>
        <v>0</v>
      </c>
      <c r="X147" s="10" t="str">
        <f>APPRENANTS!Y136</f>
        <v>Oui</v>
      </c>
    </row>
    <row r="148" ht="15.0" customHeight="1">
      <c r="A148" s="6" t="str">
        <f>APPRENANTS!B137</f>
        <v>BIANCO Sebastien</v>
      </c>
      <c r="B148" s="6" t="str">
        <f>APPRENANTS!A137</f>
        <v>Proskills Institut</v>
      </c>
      <c r="C148" s="6" t="str">
        <f>APPRENANTS!C137</f>
        <v>Djody</v>
      </c>
      <c r="D148" s="6" t="str">
        <f>APPRENANTS!G137</f>
        <v>Améliorer l'efficacité de sa TPE à l'aide de l'IA</v>
      </c>
      <c r="E148" s="6" t="str">
        <f>APPRENANTS!D137</f>
        <v>25 AV De la Petite Suisse 13012 MARSEILLE</v>
      </c>
      <c r="F148" s="6" t="str">
        <f>APPRENANTS!E137</f>
        <v/>
      </c>
      <c r="G148" s="6" t="str">
        <f>APPRENANTS!F137</f>
        <v/>
      </c>
      <c r="H148" s="6" t="str">
        <f>APPRENANTS!H137</f>
        <v>en attente</v>
      </c>
      <c r="I148" s="6" t="str">
        <f>APPRENANTS!I137</f>
        <v>0613475070</v>
      </c>
      <c r="J148" s="6" t="str">
        <f>APPRENANTS!J137</f>
        <v/>
      </c>
      <c r="K148" s="6" t="str">
        <f>APPRENANTS!K137</f>
        <v/>
      </c>
      <c r="L148" s="11"/>
      <c r="M148" s="11"/>
      <c r="N148" s="6" t="str">
        <f>'WEDOF - EXAMEN FINAL'!D137</f>
        <v>A faire</v>
      </c>
      <c r="O148" s="6" t="str">
        <f>'WEDOF - EXAMEN FINAL'!E137</f>
        <v>A faire</v>
      </c>
      <c r="P148" s="6" t="str">
        <f>'WEDOF - EXAMEN FINAL'!H137</f>
        <v/>
      </c>
      <c r="Q148" s="6" t="str">
        <f>'WEDOF - EXAMEN FINAL'!F137</f>
        <v>A faire</v>
      </c>
      <c r="R148" s="11"/>
      <c r="S148" s="6">
        <f>'PAIEMENTS &amp; COMMISSIONS'!I137</f>
        <v>1500</v>
      </c>
      <c r="T148" s="6" t="b">
        <f t="shared" si="2"/>
        <v>0</v>
      </c>
      <c r="U148" s="6" t="b">
        <f t="shared" si="3"/>
        <v>0</v>
      </c>
      <c r="V148" s="11" t="b">
        <f t="shared" ref="V148:W148" si="138">FALSE()</f>
        <v>0</v>
      </c>
      <c r="W148" s="11" t="b">
        <f t="shared" si="138"/>
        <v>0</v>
      </c>
      <c r="X148" s="10" t="str">
        <f>APPRENANTS!Y137</f>
        <v>Oui</v>
      </c>
    </row>
    <row r="149" ht="15.0" customHeight="1">
      <c r="A149" s="6" t="str">
        <f>APPRENANTS!B138</f>
        <v>BIANCO Sebastien</v>
      </c>
      <c r="B149" s="6" t="str">
        <f>APPRENANTS!A138</f>
        <v>Proskills Institut</v>
      </c>
      <c r="C149" s="6" t="str">
        <f>APPRENANTS!C138</f>
        <v>Djody</v>
      </c>
      <c r="D149" s="6" t="str">
        <f>APPRENANTS!G138</f>
        <v>Communiquer sur les réseaux sociaux pour promouvoir sa TPE</v>
      </c>
      <c r="E149" s="6" t="str">
        <f>APPRENANTS!D138</f>
        <v>25 AV De la Petite Suisse 13012 MARSEILLE</v>
      </c>
      <c r="F149" s="6" t="str">
        <f>APPRENANTS!E138</f>
        <v/>
      </c>
      <c r="G149" s="6" t="str">
        <f>APPRENANTS!F138</f>
        <v/>
      </c>
      <c r="H149" s="6" t="str">
        <f>APPRENANTS!H138</f>
        <v>en attente</v>
      </c>
      <c r="I149" s="6" t="str">
        <f>APPRENANTS!I138</f>
        <v/>
      </c>
      <c r="J149" s="6" t="str">
        <f>APPRENANTS!J138</f>
        <v/>
      </c>
      <c r="K149" s="6" t="str">
        <f>APPRENANTS!K138</f>
        <v/>
      </c>
      <c r="L149" s="11"/>
      <c r="M149" s="11"/>
      <c r="N149" s="6" t="str">
        <f>'WEDOF - EXAMEN FINAL'!D138</f>
        <v>A faire</v>
      </c>
      <c r="O149" s="6" t="str">
        <f>'WEDOF - EXAMEN FINAL'!E138</f>
        <v>A faire</v>
      </c>
      <c r="P149" s="6" t="str">
        <f>'WEDOF - EXAMEN FINAL'!H138</f>
        <v/>
      </c>
      <c r="Q149" s="6" t="str">
        <f>'WEDOF - EXAMEN FINAL'!F138</f>
        <v>A faire</v>
      </c>
      <c r="R149" s="11"/>
      <c r="S149" s="6">
        <f>'PAIEMENTS &amp; COMMISSIONS'!I138</f>
        <v>1500</v>
      </c>
      <c r="T149" s="6" t="b">
        <f t="shared" si="2"/>
        <v>0</v>
      </c>
      <c r="U149" s="6" t="b">
        <f t="shared" si="3"/>
        <v>0</v>
      </c>
      <c r="V149" s="11" t="b">
        <f t="shared" ref="V149:W149" si="139">FALSE()</f>
        <v>0</v>
      </c>
      <c r="W149" s="11" t="b">
        <f t="shared" si="139"/>
        <v>0</v>
      </c>
      <c r="X149" s="10" t="str">
        <f>APPRENANTS!Y138</f>
        <v>Oui</v>
      </c>
    </row>
    <row r="150" ht="15.0" customHeight="1">
      <c r="A150" s="6" t="str">
        <f>APPRENANTS!B139</f>
        <v>BIANCO Sebastien</v>
      </c>
      <c r="B150" s="6" t="str">
        <f>APPRENANTS!A139</f>
        <v>Proskills Institut</v>
      </c>
      <c r="C150" s="6" t="str">
        <f>APPRENANTS!C139</f>
        <v>Djody</v>
      </c>
      <c r="D150" s="6" t="str">
        <f>APPRENANTS!G139</f>
        <v>Réaliser les opérations comptables courantes d'une TPE</v>
      </c>
      <c r="E150" s="6" t="str">
        <f>APPRENANTS!D139</f>
        <v>25 AV De la Petite Suisse 13012 MARSEILLE</v>
      </c>
      <c r="F150" s="6" t="str">
        <f>APPRENANTS!E139</f>
        <v/>
      </c>
      <c r="G150" s="6" t="str">
        <f>APPRENANTS!F139</f>
        <v/>
      </c>
      <c r="H150" s="6" t="str">
        <f>APPRENANTS!H139</f>
        <v>en attente</v>
      </c>
      <c r="I150" s="6" t="str">
        <f>APPRENANTS!I139</f>
        <v/>
      </c>
      <c r="J150" s="6" t="str">
        <f>APPRENANTS!J139</f>
        <v/>
      </c>
      <c r="K150" s="6" t="str">
        <f>APPRENANTS!K139</f>
        <v/>
      </c>
      <c r="L150" s="11"/>
      <c r="M150" s="11"/>
      <c r="N150" s="6" t="str">
        <f>'WEDOF - EXAMEN FINAL'!D139</f>
        <v>A faire</v>
      </c>
      <c r="O150" s="6" t="str">
        <f>'WEDOF - EXAMEN FINAL'!E139</f>
        <v>A faire</v>
      </c>
      <c r="P150" s="6" t="str">
        <f>'WEDOF - EXAMEN FINAL'!H139</f>
        <v/>
      </c>
      <c r="Q150" s="6" t="str">
        <f>'WEDOF - EXAMEN FINAL'!F139</f>
        <v>A faire</v>
      </c>
      <c r="R150" s="11"/>
      <c r="S150" s="6">
        <f>'PAIEMENTS &amp; COMMISSIONS'!I139</f>
        <v>1500</v>
      </c>
      <c r="T150" s="6" t="b">
        <f t="shared" si="2"/>
        <v>0</v>
      </c>
      <c r="U150" s="6" t="b">
        <f t="shared" si="3"/>
        <v>0</v>
      </c>
      <c r="V150" s="11" t="b">
        <f t="shared" ref="V150:W150" si="140">FALSE()</f>
        <v>0</v>
      </c>
      <c r="W150" s="11" t="b">
        <f t="shared" si="140"/>
        <v>0</v>
      </c>
      <c r="X150" s="10" t="str">
        <f>APPRENANTS!Y139</f>
        <v>Oui</v>
      </c>
    </row>
    <row r="151" ht="15.0" customHeight="1">
      <c r="A151" s="6" t="str">
        <f>APPRENANTS!B140</f>
        <v>FRANGIAN David</v>
      </c>
      <c r="B151" s="6" t="str">
        <f>APPRENANTS!A140</f>
        <v>Proskills Institut</v>
      </c>
      <c r="C151" s="6" t="str">
        <f>APPRENANTS!C140</f>
        <v>Sabri</v>
      </c>
      <c r="D151" s="6" t="str">
        <f>APPRENANTS!G140</f>
        <v>Améliorer l'efficacité de sa TPE à l'aide de l'IA</v>
      </c>
      <c r="E151" s="6" t="str">
        <f>APPRENANTS!D140</f>
        <v>1 RUE Du malagroy 13140 MIRAMAS</v>
      </c>
      <c r="F151" s="6" t="str">
        <f>APPRENANTS!E140</f>
        <v/>
      </c>
      <c r="G151" s="6" t="str">
        <f>APPRENANTS!F140</f>
        <v/>
      </c>
      <c r="H151" s="6" t="str">
        <f>APPRENANTS!H140</f>
        <v>en attente</v>
      </c>
      <c r="I151" s="6" t="str">
        <f>APPRENANTS!I140</f>
        <v>0664580361</v>
      </c>
      <c r="J151" s="6" t="str">
        <f>APPRENANTS!J140</f>
        <v/>
      </c>
      <c r="K151" s="6" t="str">
        <f>APPRENANTS!K140</f>
        <v/>
      </c>
      <c r="L151" s="11"/>
      <c r="M151" s="11"/>
      <c r="N151" s="6" t="str">
        <f>'WEDOF - EXAMEN FINAL'!D140</f>
        <v>A faire</v>
      </c>
      <c r="O151" s="6" t="str">
        <f>'WEDOF - EXAMEN FINAL'!E140</f>
        <v>A faire</v>
      </c>
      <c r="P151" s="6" t="str">
        <f>'WEDOF - EXAMEN FINAL'!H140</f>
        <v/>
      </c>
      <c r="Q151" s="6" t="str">
        <f>'WEDOF - EXAMEN FINAL'!F140</f>
        <v>A faire</v>
      </c>
      <c r="R151" s="11"/>
      <c r="S151" s="6">
        <f>'PAIEMENTS &amp; COMMISSIONS'!I140</f>
        <v>1500</v>
      </c>
      <c r="T151" s="6" t="b">
        <f t="shared" si="2"/>
        <v>0</v>
      </c>
      <c r="U151" s="6" t="b">
        <f t="shared" si="3"/>
        <v>0</v>
      </c>
      <c r="V151" s="11" t="b">
        <f t="shared" ref="V151:W151" si="141">FALSE()</f>
        <v>0</v>
      </c>
      <c r="W151" s="11" t="b">
        <f t="shared" si="141"/>
        <v>0</v>
      </c>
      <c r="X151" s="10" t="str">
        <f>APPRENANTS!Y140</f>
        <v>Oui</v>
      </c>
    </row>
    <row r="152" ht="15.0" customHeight="1">
      <c r="A152" s="6" t="str">
        <f>APPRENANTS!B141</f>
        <v>BOGGIO Issan</v>
      </c>
      <c r="B152" s="6" t="str">
        <f>APPRENANTS!A141</f>
        <v>Proskills Institut</v>
      </c>
      <c r="C152" s="6" t="str">
        <f>APPRENANTS!C141</f>
        <v>Sabri</v>
      </c>
      <c r="D152" s="6" t="str">
        <f>APPRENANTS!G141</f>
        <v>Accepté</v>
      </c>
      <c r="E152" s="6" t="str">
        <f>APPRENANTS!D141</f>
        <v>Améliorer l'efficacité de sa TPE à l'aide de l'IA</v>
      </c>
      <c r="F152" s="6" t="str">
        <f>APPRENANTS!E141</f>
        <v>2026-07-27</v>
      </c>
      <c r="G152" s="6" t="str">
        <f>APPRENANTS!F141</f>
        <v>2026-08-01</v>
      </c>
      <c r="H152" s="6" t="str">
        <f>APPRENANTS!H141</f>
        <v>5 AV Henri romain boyer 13015 MARSEILL</v>
      </c>
      <c r="I152" s="6" t="str">
        <f>APPRENANTS!I141</f>
        <v>Boggioissan@gmail.com</v>
      </c>
      <c r="J152" s="6" t="str">
        <f>APPRENANTS!J141</f>
        <v>0769502872</v>
      </c>
      <c r="K152" s="6" t="str">
        <f>APPRENANTS!K141</f>
        <v/>
      </c>
      <c r="L152" s="11"/>
      <c r="M152" s="11"/>
      <c r="N152" s="6" t="str">
        <f>'WEDOF - EXAMEN FINAL'!D141</f>
        <v>A faire</v>
      </c>
      <c r="O152" s="6" t="str">
        <f>'WEDOF - EXAMEN FINAL'!E141</f>
        <v>A faire</v>
      </c>
      <c r="P152" s="6" t="str">
        <f>'WEDOF - EXAMEN FINAL'!H141</f>
        <v/>
      </c>
      <c r="Q152" s="6" t="str">
        <f>'WEDOF - EXAMEN FINAL'!F141</f>
        <v>A faire</v>
      </c>
      <c r="R152" s="11"/>
      <c r="S152" s="6">
        <f>'PAIEMENTS &amp; COMMISSIONS'!I141</f>
        <v>1500</v>
      </c>
      <c r="T152" s="6" t="b">
        <f t="shared" si="2"/>
        <v>1</v>
      </c>
      <c r="U152" s="6" t="b">
        <f t="shared" si="3"/>
        <v>0</v>
      </c>
      <c r="V152" s="11" t="b">
        <f t="shared" ref="V152:W152" si="142">FALSE()</f>
        <v>0</v>
      </c>
      <c r="W152" s="11" t="b">
        <f t="shared" si="142"/>
        <v>0</v>
      </c>
      <c r="X152" s="10" t="str">
        <f>APPRENANTS!Y141</f>
        <v>Oui</v>
      </c>
    </row>
    <row r="153" ht="15.0" customHeight="1">
      <c r="A153" s="6" t="str">
        <f>APPRENANTS!B142</f>
        <v>BOGGIO Issan</v>
      </c>
      <c r="B153" s="6" t="str">
        <f>APPRENANTS!A142</f>
        <v>Proskills Institut</v>
      </c>
      <c r="C153" s="6" t="str">
        <f>APPRENANTS!C142</f>
        <v>Sabri</v>
      </c>
      <c r="D153" s="6" t="str">
        <f>APPRENANTS!G142</f>
        <v>Accepté</v>
      </c>
      <c r="E153" s="6" t="str">
        <f>APPRENANTS!D142</f>
        <v>Communiquer sur les réseaux sociaux pour promouvoir sa TPE</v>
      </c>
      <c r="F153" s="6" t="str">
        <f>APPRENANTS!E142</f>
        <v>2026-08-03</v>
      </c>
      <c r="G153" s="6" t="str">
        <f>APPRENANTS!F142</f>
        <v>2026-08-08</v>
      </c>
      <c r="H153" s="6" t="str">
        <f>APPRENANTS!H142</f>
        <v/>
      </c>
      <c r="I153" s="6" t="str">
        <f>APPRENANTS!I142</f>
        <v/>
      </c>
      <c r="J153" s="6" t="str">
        <f>APPRENANTS!J142</f>
        <v/>
      </c>
      <c r="K153" s="6" t="str">
        <f>APPRENANTS!K142</f>
        <v/>
      </c>
      <c r="L153" s="11"/>
      <c r="M153" s="11"/>
      <c r="N153" s="6" t="str">
        <f>'WEDOF - EXAMEN FINAL'!D142</f>
        <v>A faire</v>
      </c>
      <c r="O153" s="6" t="str">
        <f>'WEDOF - EXAMEN FINAL'!E142</f>
        <v>A faire</v>
      </c>
      <c r="P153" s="6" t="str">
        <f>'WEDOF - EXAMEN FINAL'!H142</f>
        <v/>
      </c>
      <c r="Q153" s="6" t="str">
        <f>'WEDOF - EXAMEN FINAL'!F142</f>
        <v>A faire</v>
      </c>
      <c r="R153" s="11"/>
      <c r="S153" s="6">
        <f>'PAIEMENTS &amp; COMMISSIONS'!I142</f>
        <v>1500</v>
      </c>
      <c r="T153" s="6" t="b">
        <f t="shared" si="2"/>
        <v>1</v>
      </c>
      <c r="U153" s="6" t="b">
        <f t="shared" si="3"/>
        <v>0</v>
      </c>
      <c r="V153" s="11" t="b">
        <f t="shared" ref="V153:W153" si="143">FALSE()</f>
        <v>0</v>
      </c>
      <c r="W153" s="11" t="b">
        <f t="shared" si="143"/>
        <v>0</v>
      </c>
      <c r="X153" s="10" t="str">
        <f>APPRENANTS!Y142</f>
        <v>Oui</v>
      </c>
    </row>
    <row r="154" ht="15.0" customHeight="1">
      <c r="A154" s="6" t="str">
        <f>APPRENANTS!B143</f>
        <v>BOGGIO Issan</v>
      </c>
      <c r="B154" s="6" t="str">
        <f>APPRENANTS!A143</f>
        <v>Proskills Institut</v>
      </c>
      <c r="C154" s="6" t="str">
        <f>APPRENANTS!C143</f>
        <v>Sabri</v>
      </c>
      <c r="D154" s="6" t="str">
        <f>APPRENANTS!G143</f>
        <v>Accepté</v>
      </c>
      <c r="E154" s="6" t="str">
        <f>APPRENANTS!D143</f>
        <v>Réaliser les opérations comptables courantes d'une TPE</v>
      </c>
      <c r="F154" s="6" t="str">
        <f>APPRENANTS!E143</f>
        <v>2026-08-10</v>
      </c>
      <c r="G154" s="6" t="str">
        <f>APPRENANTS!F143</f>
        <v>2026-08-15</v>
      </c>
      <c r="H154" s="6" t="str">
        <f>APPRENANTS!H143</f>
        <v/>
      </c>
      <c r="I154" s="6" t="str">
        <f>APPRENANTS!I143</f>
        <v/>
      </c>
      <c r="J154" s="6" t="str">
        <f>APPRENANTS!J143</f>
        <v/>
      </c>
      <c r="K154" s="6" t="str">
        <f>APPRENANTS!K143</f>
        <v/>
      </c>
      <c r="L154" s="11"/>
      <c r="M154" s="11"/>
      <c r="N154" s="6" t="str">
        <f>'WEDOF - EXAMEN FINAL'!D143</f>
        <v>A faire</v>
      </c>
      <c r="O154" s="6" t="str">
        <f>'WEDOF - EXAMEN FINAL'!E143</f>
        <v>A faire</v>
      </c>
      <c r="P154" s="6" t="str">
        <f>'WEDOF - EXAMEN FINAL'!H143</f>
        <v/>
      </c>
      <c r="Q154" s="6" t="str">
        <f>'WEDOF - EXAMEN FINAL'!F143</f>
        <v>A faire</v>
      </c>
      <c r="R154" s="11"/>
      <c r="S154" s="6">
        <f>'PAIEMENTS &amp; COMMISSIONS'!I143</f>
        <v>1500</v>
      </c>
      <c r="T154" s="6" t="b">
        <f t="shared" si="2"/>
        <v>1</v>
      </c>
      <c r="U154" s="6" t="b">
        <f t="shared" si="3"/>
        <v>0</v>
      </c>
      <c r="V154" s="11" t="b">
        <f t="shared" ref="V154:W154" si="144">FALSE()</f>
        <v>0</v>
      </c>
      <c r="W154" s="11" t="b">
        <f t="shared" si="144"/>
        <v>0</v>
      </c>
      <c r="X154" s="10" t="str">
        <f>APPRENANTS!Y143</f>
        <v>Oui</v>
      </c>
    </row>
    <row r="155" ht="15.0" customHeight="1">
      <c r="A155" s="6" t="str">
        <f>APPRENANTS!B144</f>
        <v>ARGOUBI Mohamed-Salah</v>
      </c>
      <c r="B155" s="6" t="str">
        <f>APPRENANTS!A144</f>
        <v>Proskills Institut</v>
      </c>
      <c r="C155" s="6" t="str">
        <f>APPRENANTS!C144</f>
        <v>Sabri</v>
      </c>
      <c r="D155" s="6" t="str">
        <f>APPRENANTS!G144</f>
        <v>Accepté</v>
      </c>
      <c r="E155" s="6" t="str">
        <f>APPRENANTS!D144</f>
        <v>Améliorer l'efficacité de sa TPE à l'aide de l'IA</v>
      </c>
      <c r="F155" s="6" t="str">
        <f>APPRENANTS!E144</f>
        <v>2026-07-27</v>
      </c>
      <c r="G155" s="6" t="str">
        <f>APPRENANTS!F144</f>
        <v>2026-08-01</v>
      </c>
      <c r="H155" s="6" t="str">
        <f>APPRENANTS!H144</f>
        <v>24 RUE Marengo  13006 MARSEILLE</v>
      </c>
      <c r="I155" s="6" t="str">
        <f>APPRENANTS!I144</f>
        <v>manu.schianchi@gmail.com</v>
      </c>
      <c r="J155" s="6" t="str">
        <f>APPRENANTS!J144</f>
        <v>0666482176</v>
      </c>
      <c r="K155" s="6" t="str">
        <f>APPRENANTS!K144</f>
        <v/>
      </c>
      <c r="L155" s="11"/>
      <c r="M155" s="11"/>
      <c r="N155" s="6" t="str">
        <f>'WEDOF - EXAMEN FINAL'!D144</f>
        <v>A faire</v>
      </c>
      <c r="O155" s="6" t="str">
        <f>'WEDOF - EXAMEN FINAL'!E144</f>
        <v>A faire</v>
      </c>
      <c r="P155" s="6" t="str">
        <f>'WEDOF - EXAMEN FINAL'!H144</f>
        <v/>
      </c>
      <c r="Q155" s="6" t="str">
        <f>'WEDOF - EXAMEN FINAL'!F144</f>
        <v>A faire</v>
      </c>
      <c r="R155" s="11"/>
      <c r="S155" s="6">
        <f>'PAIEMENTS &amp; COMMISSIONS'!I144</f>
        <v>1500</v>
      </c>
      <c r="T155" s="6" t="b">
        <f t="shared" si="2"/>
        <v>1</v>
      </c>
      <c r="U155" s="6" t="b">
        <f t="shared" si="3"/>
        <v>0</v>
      </c>
      <c r="V155" s="11" t="b">
        <f t="shared" ref="V155:W155" si="145">FALSE()</f>
        <v>0</v>
      </c>
      <c r="W155" s="11" t="b">
        <f t="shared" si="145"/>
        <v>0</v>
      </c>
      <c r="X155" s="10" t="str">
        <f>APPRENANTS!Y144</f>
        <v>Oui</v>
      </c>
    </row>
    <row r="156" ht="15.0" customHeight="1">
      <c r="A156" s="6" t="str">
        <f>APPRENANTS!B145</f>
        <v>ARGOUBI Mohamed-Salah</v>
      </c>
      <c r="B156" s="6" t="str">
        <f>APPRENANTS!A145</f>
        <v>Proskills Institut</v>
      </c>
      <c r="C156" s="6" t="str">
        <f>APPRENANTS!C145</f>
        <v>Sabri</v>
      </c>
      <c r="D156" s="6" t="str">
        <f>APPRENANTS!G145</f>
        <v>Accepté</v>
      </c>
      <c r="E156" s="6" t="str">
        <f>APPRENANTS!D145</f>
        <v>Communiquer sur les réseaux sociaux pour promouvoir sa TPE</v>
      </c>
      <c r="F156" s="6" t="str">
        <f>APPRENANTS!E145</f>
        <v>2026-08-03</v>
      </c>
      <c r="G156" s="6" t="str">
        <f>APPRENANTS!F145</f>
        <v>2026-08-08</v>
      </c>
      <c r="H156" s="6" t="str">
        <f>APPRENANTS!H145</f>
        <v>24 RUE Marengo  13006 MARSEILLE</v>
      </c>
      <c r="I156" s="6" t="str">
        <f>APPRENANTS!I145</f>
        <v/>
      </c>
      <c r="J156" s="6" t="str">
        <f>APPRENANTS!J145</f>
        <v/>
      </c>
      <c r="K156" s="6" t="str">
        <f>APPRENANTS!K145</f>
        <v/>
      </c>
      <c r="L156" s="11"/>
      <c r="M156" s="11"/>
      <c r="N156" s="6" t="str">
        <f>'WEDOF - EXAMEN FINAL'!D145</f>
        <v>A faire</v>
      </c>
      <c r="O156" s="6" t="str">
        <f>'WEDOF - EXAMEN FINAL'!E145</f>
        <v>A faire</v>
      </c>
      <c r="P156" s="6" t="str">
        <f>'WEDOF - EXAMEN FINAL'!H145</f>
        <v/>
      </c>
      <c r="Q156" s="6" t="str">
        <f>'WEDOF - EXAMEN FINAL'!F145</f>
        <v>A faire</v>
      </c>
      <c r="R156" s="11"/>
      <c r="S156" s="6">
        <f>'PAIEMENTS &amp; COMMISSIONS'!I145</f>
        <v>1500</v>
      </c>
      <c r="T156" s="6" t="b">
        <f t="shared" si="2"/>
        <v>1</v>
      </c>
      <c r="U156" s="6" t="b">
        <f t="shared" si="3"/>
        <v>0</v>
      </c>
      <c r="V156" s="11" t="b">
        <f t="shared" ref="V156:W156" si="146">FALSE()</f>
        <v>0</v>
      </c>
      <c r="W156" s="11" t="b">
        <f t="shared" si="146"/>
        <v>0</v>
      </c>
      <c r="X156" s="10" t="str">
        <f>APPRENANTS!Y145</f>
        <v>Oui</v>
      </c>
    </row>
    <row r="157" ht="15.0" customHeight="1">
      <c r="A157" s="6" t="str">
        <f>APPRENANTS!B146</f>
        <v>CHAOUCH Nabil</v>
      </c>
      <c r="B157" s="6" t="str">
        <f>APPRENANTS!A146</f>
        <v>Proskills Institut</v>
      </c>
      <c r="C157" s="6" t="str">
        <f>APPRENANTS!C146</f>
        <v>GRAS</v>
      </c>
      <c r="D157" s="6" t="str">
        <f>APPRENANTS!G146</f>
        <v>en attente</v>
      </c>
      <c r="E157" s="6" t="str">
        <f>APPRENANTS!D146</f>
        <v>Développer son activité avec l'intelligence artificielle</v>
      </c>
      <c r="F157" s="6" t="str">
        <f>APPRENANTS!E146</f>
        <v>2026-07-28</v>
      </c>
      <c r="G157" s="6" t="str">
        <f>APPRENANTS!F146</f>
        <v>2026-08-03</v>
      </c>
      <c r="H157" s="6" t="str">
        <f>APPRENANTS!H146</f>
        <v>4 IMP Florent Evrard 62220 CARVIN</v>
      </c>
      <c r="I157" s="6" t="str">
        <f>APPRENANTS!I146</f>
        <v>espineira.b@gmail.com</v>
      </c>
      <c r="J157" s="6" t="str">
        <f>APPRENANTS!J146</f>
        <v>0663741170</v>
      </c>
      <c r="K157" s="6" t="str">
        <f>APPRENANTS!K146</f>
        <v/>
      </c>
      <c r="L157" s="11"/>
      <c r="M157" s="11"/>
      <c r="N157" s="6" t="str">
        <f>'WEDOF - EXAMEN FINAL'!D146</f>
        <v>A faire</v>
      </c>
      <c r="O157" s="6" t="str">
        <f>'WEDOF - EXAMEN FINAL'!E146</f>
        <v>A faire</v>
      </c>
      <c r="P157" s="6" t="str">
        <f>'WEDOF - EXAMEN FINAL'!H146</f>
        <v/>
      </c>
      <c r="Q157" s="6" t="str">
        <f>'WEDOF - EXAMEN FINAL'!F146</f>
        <v>A faire</v>
      </c>
      <c r="R157" s="11"/>
      <c r="S157" s="6">
        <f>'PAIEMENTS &amp; COMMISSIONS'!I146</f>
        <v>1500</v>
      </c>
      <c r="T157" s="6" t="b">
        <f t="shared" si="2"/>
        <v>1</v>
      </c>
      <c r="U157" s="6" t="b">
        <f t="shared" si="3"/>
        <v>0</v>
      </c>
      <c r="V157" s="11" t="b">
        <f t="shared" ref="V157:W157" si="147">FALSE()</f>
        <v>0</v>
      </c>
      <c r="W157" s="11" t="b">
        <f t="shared" si="147"/>
        <v>0</v>
      </c>
      <c r="X157" s="10" t="str">
        <f>APPRENANTS!Y146</f>
        <v>Oui</v>
      </c>
    </row>
    <row r="158" ht="15.0" customHeight="1">
      <c r="A158" s="6" t="str">
        <f>APPRENANTS!B147</f>
        <v>BESSA Oussama</v>
      </c>
      <c r="B158" s="6" t="str">
        <f>APPRENANTS!A147</f>
        <v>Proskills Institut</v>
      </c>
      <c r="C158" s="6" t="str">
        <f>APPRENANTS!C147</f>
        <v>Jean</v>
      </c>
      <c r="D158" s="6" t="str">
        <f>APPRENANTS!G147</f>
        <v>en attente</v>
      </c>
      <c r="E158" s="6" t="str">
        <f>APPRENANTS!D147</f>
        <v>Communiquer sur les réseaux sociaux pour promouvoir sa TPE</v>
      </c>
      <c r="F158" s="6" t="str">
        <f>APPRENANTS!E147</f>
        <v>2026-08-03</v>
      </c>
      <c r="G158" s="6" t="str">
        <f>APPRENANTS!F147</f>
        <v>2026-08-08</v>
      </c>
      <c r="H158" s="6" t="str">
        <f>APPRENANTS!H147</f>
        <v/>
      </c>
      <c r="I158" s="6" t="str">
        <f>APPRENANTS!I147</f>
        <v/>
      </c>
      <c r="J158" s="6" t="str">
        <f>APPRENANTS!J147</f>
        <v/>
      </c>
      <c r="K158" s="6" t="str">
        <f>APPRENANTS!K147</f>
        <v/>
      </c>
      <c r="L158" s="11"/>
      <c r="M158" s="11"/>
      <c r="N158" s="6" t="str">
        <f>'WEDOF - EXAMEN FINAL'!D147</f>
        <v>A faire</v>
      </c>
      <c r="O158" s="6" t="str">
        <f>'WEDOF - EXAMEN FINAL'!E147</f>
        <v>A faire</v>
      </c>
      <c r="P158" s="6" t="str">
        <f>'WEDOF - EXAMEN FINAL'!H147</f>
        <v/>
      </c>
      <c r="Q158" s="6" t="str">
        <f>'WEDOF - EXAMEN FINAL'!F147</f>
        <v>A faire</v>
      </c>
      <c r="R158" s="11"/>
      <c r="S158" s="6">
        <f>'PAIEMENTS &amp; COMMISSIONS'!I147</f>
        <v>1500</v>
      </c>
      <c r="T158" s="6" t="b">
        <f t="shared" si="2"/>
        <v>1</v>
      </c>
      <c r="U158" s="6" t="b">
        <f t="shared" si="3"/>
        <v>0</v>
      </c>
      <c r="V158" s="11" t="b">
        <f t="shared" ref="V158:W158" si="148">FALSE()</f>
        <v>0</v>
      </c>
      <c r="W158" s="11" t="b">
        <f t="shared" si="148"/>
        <v>0</v>
      </c>
      <c r="X158" s="10" t="str">
        <f>APPRENANTS!Y147</f>
        <v>Oui</v>
      </c>
    </row>
    <row r="159" ht="15.0" customHeight="1">
      <c r="A159" s="6" t="str">
        <f>APPRENANTS!B148</f>
        <v>BESSA Oussama</v>
      </c>
      <c r="B159" s="6" t="str">
        <f>APPRENANTS!A148</f>
        <v>Proskills Institut</v>
      </c>
      <c r="C159" s="6" t="str">
        <f>APPRENANTS!C148</f>
        <v>Jean</v>
      </c>
      <c r="D159" s="6" t="str">
        <f>APPRENANTS!G148</f>
        <v>en attente</v>
      </c>
      <c r="E159" s="6" t="str">
        <f>APPRENANTS!D148</f>
        <v>Réaliser les opérations comptables courantes d'une TPE</v>
      </c>
      <c r="F159" s="6" t="str">
        <f>APPRENANTS!E148</f>
        <v>2026-08-10</v>
      </c>
      <c r="G159" s="6" t="str">
        <f>APPRENANTS!F148</f>
        <v>2026-08-15</v>
      </c>
      <c r="H159" s="6" t="str">
        <f>APPRENANTS!H148</f>
        <v/>
      </c>
      <c r="I159" s="6" t="str">
        <f>APPRENANTS!I148</f>
        <v/>
      </c>
      <c r="J159" s="6" t="str">
        <f>APPRENANTS!J148</f>
        <v/>
      </c>
      <c r="K159" s="6" t="str">
        <f>APPRENANTS!K148</f>
        <v/>
      </c>
      <c r="L159" s="11"/>
      <c r="M159" s="11"/>
      <c r="N159" s="6" t="str">
        <f>'WEDOF - EXAMEN FINAL'!D148</f>
        <v>A faire</v>
      </c>
      <c r="O159" s="6" t="str">
        <f>'WEDOF - EXAMEN FINAL'!E148</f>
        <v>A faire</v>
      </c>
      <c r="P159" s="6" t="str">
        <f>'WEDOF - EXAMEN FINAL'!H148</f>
        <v/>
      </c>
      <c r="Q159" s="6" t="str">
        <f>'WEDOF - EXAMEN FINAL'!F148</f>
        <v>A faire</v>
      </c>
      <c r="R159" s="11"/>
      <c r="S159" s="6">
        <f>'PAIEMENTS &amp; COMMISSIONS'!I148</f>
        <v>1500</v>
      </c>
      <c r="T159" s="6" t="b">
        <f t="shared" si="2"/>
        <v>1</v>
      </c>
      <c r="U159" s="6" t="b">
        <f t="shared" si="3"/>
        <v>0</v>
      </c>
      <c r="V159" s="11" t="b">
        <f t="shared" ref="V159:W159" si="149">FALSE()</f>
        <v>0</v>
      </c>
      <c r="W159" s="11" t="b">
        <f t="shared" si="149"/>
        <v>0</v>
      </c>
      <c r="X159" s="10" t="str">
        <f>APPRENANTS!Y148</f>
        <v>Oui</v>
      </c>
    </row>
    <row r="160" ht="15.0" customHeight="1">
      <c r="A160" s="6" t="str">
        <f>APPRENANTS!B149</f>
        <v>NOUIRI Ryad</v>
      </c>
      <c r="B160" s="6" t="str">
        <f>APPRENANTS!A149</f>
        <v>Proskills Institut</v>
      </c>
      <c r="C160" s="6" t="str">
        <f>APPRENANTS!C149</f>
        <v>GRAS</v>
      </c>
      <c r="D160" s="6" t="str">
        <f>APPRENANTS!G149</f>
        <v>en attente</v>
      </c>
      <c r="E160" s="6" t="str">
        <f>APPRENANTS!D149</f>
        <v>Développer son activité avec l'intelligence artificielle</v>
      </c>
      <c r="F160" s="6" t="str">
        <f>APPRENANTS!E149</f>
        <v>2026-08-10</v>
      </c>
      <c r="G160" s="6" t="str">
        <f>APPRENANTS!F149</f>
        <v>2026-08-15</v>
      </c>
      <c r="H160" s="6" t="str">
        <f>APPRENANTS!H149</f>
        <v/>
      </c>
      <c r="I160" s="6" t="str">
        <f>APPRENANTS!I149</f>
        <v>espineira.b@gmail.com</v>
      </c>
      <c r="J160" s="6" t="str">
        <f>APPRENANTS!J149</f>
        <v>0663741170</v>
      </c>
      <c r="K160" s="6" t="str">
        <f>APPRENANTS!K149</f>
        <v/>
      </c>
      <c r="L160" s="11"/>
      <c r="M160" s="11"/>
      <c r="N160" s="6" t="str">
        <f>'WEDOF - EXAMEN FINAL'!D149</f>
        <v>A faire</v>
      </c>
      <c r="O160" s="6" t="str">
        <f>'WEDOF - EXAMEN FINAL'!E149</f>
        <v>A faire</v>
      </c>
      <c r="P160" s="6" t="str">
        <f>'WEDOF - EXAMEN FINAL'!H149</f>
        <v/>
      </c>
      <c r="Q160" s="6" t="str">
        <f>'WEDOF - EXAMEN FINAL'!F149</f>
        <v>A faire</v>
      </c>
      <c r="R160" s="11"/>
      <c r="S160" s="6">
        <f>'PAIEMENTS &amp; COMMISSIONS'!I149</f>
        <v>1500</v>
      </c>
      <c r="T160" s="6" t="b">
        <f t="shared" si="2"/>
        <v>0</v>
      </c>
      <c r="U160" s="6" t="b">
        <f t="shared" si="3"/>
        <v>0</v>
      </c>
      <c r="V160" s="11" t="b">
        <f t="shared" ref="V160:W160" si="150">FALSE()</f>
        <v>0</v>
      </c>
      <c r="W160" s="11" t="b">
        <f t="shared" si="150"/>
        <v>0</v>
      </c>
      <c r="X160" s="10" t="str">
        <f>APPRENANTS!Y149</f>
        <v>Non</v>
      </c>
    </row>
    <row r="161" ht="15.0" customHeight="1">
      <c r="A161" s="6" t="str">
        <f>APPRENANTS!B150</f>
        <v>RUIZ Thomas</v>
      </c>
      <c r="B161" s="6" t="str">
        <f>APPRENANTS!A150</f>
        <v>Proskills Institut</v>
      </c>
      <c r="C161" s="6" t="str">
        <f>APPRENANTS!C150</f>
        <v>GRAS</v>
      </c>
      <c r="D161" s="6" t="str">
        <f>APPRENANTS!G150</f>
        <v>Accepté</v>
      </c>
      <c r="E161" s="6" t="str">
        <f>APPRENANTS!D150</f>
        <v>Développer son activité avec l'intelligence artificielle</v>
      </c>
      <c r="F161" s="6" t="str">
        <f>APPRENANTS!E150</f>
        <v>2026-08-10</v>
      </c>
      <c r="G161" s="6" t="str">
        <f>APPRENANTS!F150</f>
        <v>2026-08-15</v>
      </c>
      <c r="H161" s="6" t="str">
        <f>APPRENANTS!H150</f>
        <v/>
      </c>
      <c r="I161" s="6" t="str">
        <f>APPRENANTS!I150</f>
        <v>espineira.b@gmail.com</v>
      </c>
      <c r="J161" s="6" t="str">
        <f>APPRENANTS!J150</f>
        <v>0663741170</v>
      </c>
      <c r="K161" s="6" t="str">
        <f>APPRENANTS!K150</f>
        <v/>
      </c>
      <c r="L161" s="11"/>
      <c r="M161" s="11"/>
      <c r="N161" s="6" t="str">
        <f>'WEDOF - EXAMEN FINAL'!D150</f>
        <v>A faire</v>
      </c>
      <c r="O161" s="6" t="str">
        <f>'WEDOF - EXAMEN FINAL'!E150</f>
        <v>A faire</v>
      </c>
      <c r="P161" s="6" t="str">
        <f>'WEDOF - EXAMEN FINAL'!H150</f>
        <v/>
      </c>
      <c r="Q161" s="6" t="str">
        <f>'WEDOF - EXAMEN FINAL'!F150</f>
        <v>A faire</v>
      </c>
      <c r="R161" s="11"/>
      <c r="S161" s="6">
        <f>'PAIEMENTS &amp; COMMISSIONS'!I150</f>
        <v>1500</v>
      </c>
      <c r="T161" s="6" t="b">
        <f t="shared" si="2"/>
        <v>0</v>
      </c>
      <c r="U161" s="6" t="b">
        <f t="shared" si="3"/>
        <v>0</v>
      </c>
      <c r="V161" s="11" t="b">
        <f t="shared" ref="V161:W161" si="151">FALSE()</f>
        <v>0</v>
      </c>
      <c r="W161" s="11" t="b">
        <f t="shared" si="151"/>
        <v>0</v>
      </c>
      <c r="X161" s="10" t="str">
        <f>APPRENANTS!Y150</f>
        <v>Non</v>
      </c>
    </row>
    <row r="162" ht="15.0" customHeight="1">
      <c r="A162" s="6" t="str">
        <f>APPRENANTS!B151</f>
        <v>BOGGIO Andre</v>
      </c>
      <c r="B162" s="6" t="str">
        <f>APPRENANTS!A151</f>
        <v>Proskills Institut</v>
      </c>
      <c r="C162" s="6" t="str">
        <f>APPRENANTS!C151</f>
        <v>Sabri</v>
      </c>
      <c r="D162" s="6" t="str">
        <f>APPRENANTS!G151</f>
        <v>en attente</v>
      </c>
      <c r="E162" s="6" t="str">
        <f>APPRENANTS!D151</f>
        <v>Améliorer l'efficacité de sa TPE à l'aide de l'IA</v>
      </c>
      <c r="F162" s="6" t="str">
        <f>APPRENANTS!E151</f>
        <v>2026-08-17</v>
      </c>
      <c r="G162" s="6" t="str">
        <f>APPRENANTS!F151</f>
        <v>2026-08-22</v>
      </c>
      <c r="H162" s="6" t="str">
        <f>APPRENANTS!H151</f>
        <v/>
      </c>
      <c r="I162" s="6" t="str">
        <f>APPRENANTS!I151</f>
        <v>Boggioissan@gmail.com</v>
      </c>
      <c r="J162" s="6" t="str">
        <f>APPRENANTS!J151</f>
        <v>0769502872</v>
      </c>
      <c r="K162" s="6" t="str">
        <f>APPRENANTS!K151</f>
        <v/>
      </c>
      <c r="L162" s="11"/>
      <c r="M162" s="11"/>
      <c r="N162" s="6" t="str">
        <f>'WEDOF - EXAMEN FINAL'!D151</f>
        <v>A faire</v>
      </c>
      <c r="O162" s="6" t="str">
        <f>'WEDOF - EXAMEN FINAL'!E151</f>
        <v>A faire</v>
      </c>
      <c r="P162" s="6" t="str">
        <f>'WEDOF - EXAMEN FINAL'!H151</f>
        <v/>
      </c>
      <c r="Q162" s="6" t="str">
        <f>'WEDOF - EXAMEN FINAL'!F151</f>
        <v>A faire</v>
      </c>
      <c r="R162" s="11"/>
      <c r="S162" s="6">
        <f>'PAIEMENTS &amp; COMMISSIONS'!I151</f>
        <v>1500</v>
      </c>
      <c r="T162" s="6" t="b">
        <f t="shared" si="2"/>
        <v>0</v>
      </c>
      <c r="U162" s="6" t="b">
        <f t="shared" si="3"/>
        <v>0</v>
      </c>
      <c r="V162" s="11" t="b">
        <f t="shared" ref="V162:W162" si="152">FALSE()</f>
        <v>0</v>
      </c>
      <c r="W162" s="11" t="b">
        <f t="shared" si="152"/>
        <v>0</v>
      </c>
      <c r="X162" s="10" t="str">
        <f>APPRENANTS!Y151</f>
        <v>Non</v>
      </c>
    </row>
    <row r="163" ht="15.0" customHeight="1">
      <c r="A163" s="6" t="str">
        <f>APPRENANTS!B152</f>
        <v>BOGGIO Andre</v>
      </c>
      <c r="B163" s="6" t="str">
        <f>APPRENANTS!A152</f>
        <v>Proskills Institut</v>
      </c>
      <c r="C163" s="6" t="str">
        <f>APPRENANTS!C152</f>
        <v>Sabri</v>
      </c>
      <c r="D163" s="6" t="str">
        <f>APPRENANTS!G152</f>
        <v>en attente</v>
      </c>
      <c r="E163" s="6" t="str">
        <f>APPRENANTS!D152</f>
        <v>Communiquer sur les réseaux sociaux pour promouvoir sa TPE</v>
      </c>
      <c r="F163" s="6" t="str">
        <f>APPRENANTS!E152</f>
        <v>2026-08-03</v>
      </c>
      <c r="G163" s="6" t="str">
        <f>APPRENANTS!F152</f>
        <v>2026-08-08</v>
      </c>
      <c r="H163" s="6" t="str">
        <f>APPRENANTS!H152</f>
        <v/>
      </c>
      <c r="I163" s="6" t="str">
        <f>APPRENANTS!I152</f>
        <v/>
      </c>
      <c r="J163" s="6" t="str">
        <f>APPRENANTS!J152</f>
        <v/>
      </c>
      <c r="K163" s="6" t="str">
        <f>APPRENANTS!K152</f>
        <v/>
      </c>
      <c r="L163" s="11"/>
      <c r="M163" s="11"/>
      <c r="N163" s="6" t="str">
        <f>'WEDOF - EXAMEN FINAL'!D152</f>
        <v>A faire</v>
      </c>
      <c r="O163" s="6" t="str">
        <f>'WEDOF - EXAMEN FINAL'!E152</f>
        <v>A faire</v>
      </c>
      <c r="P163" s="6" t="str">
        <f>'WEDOF - EXAMEN FINAL'!H152</f>
        <v/>
      </c>
      <c r="Q163" s="6" t="str">
        <f>'WEDOF - EXAMEN FINAL'!F152</f>
        <v>A faire</v>
      </c>
      <c r="R163" s="11"/>
      <c r="S163" s="6">
        <f>'PAIEMENTS &amp; COMMISSIONS'!I152</f>
        <v>1500</v>
      </c>
      <c r="T163" s="6" t="b">
        <f t="shared" si="2"/>
        <v>0</v>
      </c>
      <c r="U163" s="6" t="b">
        <f t="shared" si="3"/>
        <v>0</v>
      </c>
      <c r="V163" s="11" t="b">
        <f t="shared" ref="V163:W163" si="153">FALSE()</f>
        <v>0</v>
      </c>
      <c r="W163" s="11" t="b">
        <f t="shared" si="153"/>
        <v>0</v>
      </c>
      <c r="X163" s="10" t="str">
        <f>APPRENANTS!Y152</f>
        <v>Non</v>
      </c>
    </row>
    <row r="164" ht="15.0" customHeight="1">
      <c r="A164" s="6" t="str">
        <f>APPRENANTS!B153</f>
        <v>BOGGIO Andre</v>
      </c>
      <c r="B164" s="6" t="str">
        <f>APPRENANTS!A153</f>
        <v>Proskills Institut</v>
      </c>
      <c r="C164" s="6" t="str">
        <f>APPRENANTS!C153</f>
        <v>Sabri</v>
      </c>
      <c r="D164" s="6" t="str">
        <f>APPRENANTS!G153</f>
        <v>en attente</v>
      </c>
      <c r="E164" s="6" t="str">
        <f>APPRENANTS!D153</f>
        <v>Réaliser les opérations comptables courantes d'une TPE</v>
      </c>
      <c r="F164" s="6" t="str">
        <f>APPRENANTS!E153</f>
        <v>2026-08-10</v>
      </c>
      <c r="G164" s="6" t="str">
        <f>APPRENANTS!F153</f>
        <v>2026-08-15</v>
      </c>
      <c r="H164" s="6" t="str">
        <f>APPRENANTS!H153</f>
        <v/>
      </c>
      <c r="I164" s="6" t="str">
        <f>APPRENANTS!I153</f>
        <v/>
      </c>
      <c r="J164" s="6" t="str">
        <f>APPRENANTS!J153</f>
        <v/>
      </c>
      <c r="K164" s="6" t="str">
        <f>APPRENANTS!K153</f>
        <v/>
      </c>
      <c r="L164" s="11"/>
      <c r="M164" s="11"/>
      <c r="N164" s="6" t="str">
        <f>'WEDOF - EXAMEN FINAL'!D153</f>
        <v>A faire</v>
      </c>
      <c r="O164" s="6" t="str">
        <f>'WEDOF - EXAMEN FINAL'!E153</f>
        <v>A faire</v>
      </c>
      <c r="P164" s="6" t="str">
        <f>'WEDOF - EXAMEN FINAL'!H153</f>
        <v/>
      </c>
      <c r="Q164" s="6" t="str">
        <f>'WEDOF - EXAMEN FINAL'!F153</f>
        <v>A faire</v>
      </c>
      <c r="R164" s="11"/>
      <c r="S164" s="6">
        <f>'PAIEMENTS &amp; COMMISSIONS'!I153</f>
        <v>1500</v>
      </c>
      <c r="T164" s="6" t="b">
        <f t="shared" si="2"/>
        <v>0</v>
      </c>
      <c r="U164" s="6" t="b">
        <f t="shared" si="3"/>
        <v>0</v>
      </c>
      <c r="V164" s="11" t="b">
        <f t="shared" ref="V164:W164" si="154">FALSE()</f>
        <v>0</v>
      </c>
      <c r="W164" s="11" t="b">
        <f t="shared" si="154"/>
        <v>0</v>
      </c>
      <c r="X164" s="10" t="str">
        <f>APPRENANTS!Y153</f>
        <v>Non</v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2:$X$164"/>
  <conditionalFormatting sqref="T13:T164">
    <cfRule type="expression" dxfId="2" priority="1">
      <formula>$T13=1</formula>
    </cfRule>
  </conditionalFormatting>
  <conditionalFormatting sqref="U13:U164">
    <cfRule type="expression" dxfId="2" priority="2">
      <formula>$U13=1</formula>
    </cfRule>
  </conditionalFormatting>
  <conditionalFormatting sqref="V13:V164">
    <cfRule type="expression" dxfId="2" priority="3">
      <formula>$V13=1</formula>
    </cfRule>
  </conditionalFormatting>
  <conditionalFormatting sqref="W13:W164">
    <cfRule type="expression" dxfId="2" priority="4">
      <formula>$W13=1</formula>
    </cfRule>
  </conditionalFormatting>
  <conditionalFormatting sqref="X13:X164">
    <cfRule type="expression" dxfId="2" priority="5">
      <formula>$X13="Oui"</formula>
    </cfRule>
  </conditionalFormatting>
  <conditionalFormatting sqref="X13:X164">
    <cfRule type="expression" dxfId="3" priority="6">
      <formula>$X13="Non"</formula>
    </cfRule>
  </conditionalFormatting>
  <dataValidations>
    <dataValidation type="list" allowBlank="1" showErrorMessage="1" sqref="V13:W164">
      <formula1>"TRUE,FALSE"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45.0"/>
    <col customWidth="1" min="3" max="3" width="80.0"/>
    <col customWidth="1" min="4" max="26" width="8.63"/>
  </cols>
  <sheetData>
    <row r="1" ht="15.0" customHeight="1">
      <c r="A1" s="21" t="s">
        <v>0</v>
      </c>
      <c r="B1" s="21" t="s">
        <v>8</v>
      </c>
      <c r="C1" s="21" t="s">
        <v>397</v>
      </c>
    </row>
    <row r="2" ht="15.0" customHeight="1">
      <c r="A2" s="5" t="s">
        <v>51</v>
      </c>
      <c r="B2" s="5" t="s">
        <v>56</v>
      </c>
      <c r="C2" s="5" t="s">
        <v>398</v>
      </c>
    </row>
    <row r="3" ht="15.0" customHeight="1">
      <c r="A3" s="5" t="s">
        <v>51</v>
      </c>
      <c r="B3" s="5" t="s">
        <v>399</v>
      </c>
      <c r="C3" s="5" t="s">
        <v>400</v>
      </c>
    </row>
    <row r="4" ht="15.0" customHeight="1">
      <c r="A4" s="5" t="s">
        <v>51</v>
      </c>
      <c r="B4" s="5" t="s">
        <v>268</v>
      </c>
      <c r="C4" s="5" t="s">
        <v>401</v>
      </c>
    </row>
    <row r="5" ht="15.0" customHeight="1">
      <c r="A5" s="5" t="s">
        <v>51</v>
      </c>
      <c r="B5" s="5" t="s">
        <v>261</v>
      </c>
      <c r="C5" s="5" t="s">
        <v>402</v>
      </c>
    </row>
    <row r="6" ht="15.0" customHeight="1">
      <c r="A6" s="5" t="s">
        <v>51</v>
      </c>
      <c r="B6" s="5" t="s">
        <v>403</v>
      </c>
      <c r="C6" s="5" t="s">
        <v>404</v>
      </c>
    </row>
    <row r="7" ht="15.0" customHeight="1">
      <c r="A7" s="5" t="s">
        <v>51</v>
      </c>
      <c r="B7" s="5" t="s">
        <v>373</v>
      </c>
      <c r="C7" s="5" t="s">
        <v>405</v>
      </c>
    </row>
    <row r="8" ht="15.0" customHeight="1">
      <c r="A8" s="5" t="s">
        <v>330</v>
      </c>
      <c r="B8" s="5" t="s">
        <v>56</v>
      </c>
      <c r="C8" s="5" t="s">
        <v>406</v>
      </c>
    </row>
    <row r="9" ht="15.0" customHeight="1">
      <c r="A9" s="5" t="s">
        <v>330</v>
      </c>
      <c r="B9" s="5" t="s">
        <v>373</v>
      </c>
      <c r="C9" s="5" t="s">
        <v>407</v>
      </c>
    </row>
    <row r="10" ht="15.0" customHeight="1">
      <c r="A10" s="5" t="s">
        <v>330</v>
      </c>
      <c r="B10" s="5" t="s">
        <v>268</v>
      </c>
      <c r="C10" s="5" t="s">
        <v>408</v>
      </c>
    </row>
    <row r="11" ht="15.0" customHeight="1">
      <c r="A11" s="5" t="s">
        <v>330</v>
      </c>
      <c r="B11" s="5" t="s">
        <v>261</v>
      </c>
      <c r="C11" s="5" t="s">
        <v>409</v>
      </c>
    </row>
    <row r="12" ht="15.0" customHeight="1">
      <c r="A12" s="5" t="s">
        <v>330</v>
      </c>
      <c r="B12" s="5" t="s">
        <v>403</v>
      </c>
      <c r="C12" s="5" t="s">
        <v>410</v>
      </c>
    </row>
    <row r="13" ht="15.0" customHeight="1">
      <c r="A13" s="5" t="s">
        <v>330</v>
      </c>
      <c r="B13" s="5" t="s">
        <v>411</v>
      </c>
      <c r="C13" s="5" t="s">
        <v>412</v>
      </c>
    </row>
    <row r="14" ht="15.0" customHeight="1">
      <c r="A14" s="5" t="s">
        <v>330</v>
      </c>
      <c r="B14" s="5" t="s">
        <v>411</v>
      </c>
      <c r="C14" s="5" t="s">
        <v>412</v>
      </c>
    </row>
    <row r="15" ht="15.0" customHeight="1">
      <c r="A15" s="5" t="s">
        <v>330</v>
      </c>
      <c r="B15" s="5" t="s">
        <v>413</v>
      </c>
      <c r="C15" s="5" t="s">
        <v>414</v>
      </c>
    </row>
    <row r="16" ht="15.0" customHeight="1">
      <c r="A16" s="5" t="s">
        <v>330</v>
      </c>
      <c r="B16" s="5" t="s">
        <v>415</v>
      </c>
      <c r="C16" s="5" t="s">
        <v>416</v>
      </c>
    </row>
    <row r="17" ht="15.0" customHeight="1">
      <c r="A17" s="5" t="s">
        <v>330</v>
      </c>
      <c r="B17" s="5" t="s">
        <v>417</v>
      </c>
      <c r="C17" s="5" t="s">
        <v>418</v>
      </c>
    </row>
    <row r="18" ht="15.0" customHeight="1">
      <c r="A18" s="5" t="s">
        <v>330</v>
      </c>
      <c r="B18" s="5" t="s">
        <v>419</v>
      </c>
      <c r="C18" s="5" t="s">
        <v>420</v>
      </c>
    </row>
    <row r="19" ht="15.0" customHeight="1">
      <c r="A19" s="5" t="s">
        <v>330</v>
      </c>
      <c r="B19" s="5" t="s">
        <v>421</v>
      </c>
      <c r="C19" s="5" t="s">
        <v>422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C$19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4.0"/>
    <col customWidth="1" min="3" max="8" width="20.0"/>
    <col customWidth="1" min="9" max="26" width="8.63"/>
  </cols>
  <sheetData>
    <row r="1" ht="12.75" customHeight="1"/>
    <row r="2" ht="15.0" customHeight="1">
      <c r="B2" s="4" t="s">
        <v>436</v>
      </c>
    </row>
    <row r="3" ht="26.25" customHeight="1">
      <c r="B3" s="2" t="s">
        <v>5</v>
      </c>
      <c r="C3" s="2" t="s">
        <v>437</v>
      </c>
      <c r="D3" s="2" t="s">
        <v>438</v>
      </c>
      <c r="E3" s="2" t="s">
        <v>439</v>
      </c>
      <c r="F3" s="2" t="s">
        <v>440</v>
      </c>
      <c r="G3" s="2" t="s">
        <v>441</v>
      </c>
    </row>
    <row r="4" ht="15.0" customHeight="1">
      <c r="B4" s="5" t="s">
        <v>382</v>
      </c>
      <c r="C4" s="5">
        <f>COUNTIF('PAIEMENTS &amp; COMMISSIONS'!$D$2:$D$153,$B4)</f>
        <v>5</v>
      </c>
      <c r="D4" s="5">
        <f>SUMIF('PAIEMENTS &amp; COMMISSIONS'!$D$2:$D$153,$B4,'PAIEMENTS &amp; COMMISSIONS'!$P$2:$P$153)</f>
        <v>3750</v>
      </c>
      <c r="E4" s="5">
        <f>SUMIFS('PAIEMENTS &amp; COMMISSIONS'!$P$2:$P$153,'PAIEMENTS &amp; COMMISSIONS'!$D$2:$D$153,$B4,'PAIEMENTS &amp; COMMISSIONS'!$K$2:$K$153,"Oui")</f>
        <v>0</v>
      </c>
      <c r="F4" s="5">
        <f t="shared" ref="F4:F14" si="1">D4-E4</f>
        <v>3750</v>
      </c>
      <c r="G4" s="5">
        <f>COUNTIFS('PAIEMENTS &amp; COMMISSIONS'!$D$2:$D$153,$B4,'PAIEMENTS &amp; COMMISSIONS'!$L$2:$L$153,"En retard - a verser")</f>
        <v>5</v>
      </c>
    </row>
    <row r="5" ht="15.0" customHeight="1">
      <c r="B5" s="5" t="s">
        <v>55</v>
      </c>
      <c r="C5" s="5">
        <f>COUNTIF('PAIEMENTS &amp; COMMISSIONS'!$D$2:$D$153,$B5)</f>
        <v>14</v>
      </c>
      <c r="D5" s="5">
        <f>SUMIF('PAIEMENTS &amp; COMMISSIONS'!$D$2:$D$153,$B5,'PAIEMENTS &amp; COMMISSIONS'!$P$2:$P$153)</f>
        <v>10575</v>
      </c>
      <c r="E5" s="5">
        <f>SUMIFS('PAIEMENTS &amp; COMMISSIONS'!$P$2:$P$153,'PAIEMENTS &amp; COMMISSIONS'!$D$2:$D$153,$B5,'PAIEMENTS &amp; COMMISSIONS'!$K$2:$K$153,"Oui")</f>
        <v>0</v>
      </c>
      <c r="F5" s="5">
        <f t="shared" si="1"/>
        <v>10575</v>
      </c>
      <c r="G5" s="5">
        <f>COUNTIFS('PAIEMENTS &amp; COMMISSIONS'!$D$2:$D$153,$B5,'PAIEMENTS &amp; COMMISSIONS'!$L$2:$L$153,"En retard - a verser")</f>
        <v>4</v>
      </c>
    </row>
    <row r="6" ht="15.0" customHeight="1">
      <c r="B6" s="5" t="s">
        <v>287</v>
      </c>
      <c r="C6" s="5">
        <f>COUNTIF('PAIEMENTS &amp; COMMISSIONS'!$D$2:$D$153,$B6)</f>
        <v>9</v>
      </c>
      <c r="D6" s="5">
        <f>SUMIF('PAIEMENTS &amp; COMMISSIONS'!$D$2:$D$153,$B6,'PAIEMENTS &amp; COMMISSIONS'!$P$2:$P$153)</f>
        <v>6750</v>
      </c>
      <c r="E6" s="5">
        <f>SUMIFS('PAIEMENTS &amp; COMMISSIONS'!$P$2:$P$153,'PAIEMENTS &amp; COMMISSIONS'!$D$2:$D$153,$B6,'PAIEMENTS &amp; COMMISSIONS'!$K$2:$K$153,"Oui")</f>
        <v>0</v>
      </c>
      <c r="F6" s="5">
        <f t="shared" si="1"/>
        <v>6750</v>
      </c>
      <c r="G6" s="5">
        <f>COUNTIFS('PAIEMENTS &amp; COMMISSIONS'!$D$2:$D$153,$B6,'PAIEMENTS &amp; COMMISSIONS'!$L$2:$L$153,"En retard - a verser")</f>
        <v>2</v>
      </c>
    </row>
    <row r="7" ht="15.0" customHeight="1">
      <c r="B7" s="5" t="s">
        <v>260</v>
      </c>
      <c r="C7" s="5">
        <f>COUNTIF('PAIEMENTS &amp; COMMISSIONS'!$D$2:$D$153,$B7)</f>
        <v>15</v>
      </c>
      <c r="D7" s="5">
        <f>SUMIF('PAIEMENTS &amp; COMMISSIONS'!$D$2:$D$153,$B7,'PAIEMENTS &amp; COMMISSIONS'!$P$2:$P$153)</f>
        <v>9750</v>
      </c>
      <c r="E7" s="5">
        <f>SUMIFS('PAIEMENTS &amp; COMMISSIONS'!$P$2:$P$153,'PAIEMENTS &amp; COMMISSIONS'!$D$2:$D$153,$B7,'PAIEMENTS &amp; COMMISSIONS'!$K$2:$K$153,"Oui")</f>
        <v>0</v>
      </c>
      <c r="F7" s="5">
        <f t="shared" si="1"/>
        <v>9750</v>
      </c>
      <c r="G7" s="5">
        <f>COUNTIFS('PAIEMENTS &amp; COMMISSIONS'!$D$2:$D$153,$B7,'PAIEMENTS &amp; COMMISSIONS'!$L$2:$L$153,"En retard - a verser")</f>
        <v>1</v>
      </c>
    </row>
    <row r="8" ht="15.0" customHeight="1">
      <c r="B8" s="5" t="s">
        <v>293</v>
      </c>
      <c r="C8" s="5">
        <f>COUNTIF('PAIEMENTS &amp; COMMISSIONS'!$D$2:$D$153,$B8)</f>
        <v>12</v>
      </c>
      <c r="D8" s="5">
        <f>SUMIF('PAIEMENTS &amp; COMMISSIONS'!$D$2:$D$153,$B8,'PAIEMENTS &amp; COMMISSIONS'!$P$2:$P$153)</f>
        <v>6750</v>
      </c>
      <c r="E8" s="5">
        <f>SUMIFS('PAIEMENTS &amp; COMMISSIONS'!$P$2:$P$153,'PAIEMENTS &amp; COMMISSIONS'!$D$2:$D$153,$B8,'PAIEMENTS &amp; COMMISSIONS'!$K$2:$K$153,"Oui")</f>
        <v>0</v>
      </c>
      <c r="F8" s="5">
        <f t="shared" si="1"/>
        <v>6750</v>
      </c>
      <c r="G8" s="5">
        <f>COUNTIFS('PAIEMENTS &amp; COMMISSIONS'!$D$2:$D$153,$B8,'PAIEMENTS &amp; COMMISSIONS'!$L$2:$L$153,"En retard - a verser")</f>
        <v>0</v>
      </c>
    </row>
    <row r="9" ht="15.0" customHeight="1">
      <c r="B9" s="5" t="s">
        <v>281</v>
      </c>
      <c r="C9" s="5">
        <f>COUNTIF('PAIEMENTS &amp; COMMISSIONS'!$D$2:$D$153,$B9)</f>
        <v>7</v>
      </c>
      <c r="D9" s="5">
        <f>SUMIF('PAIEMENTS &amp; COMMISSIONS'!$D$2:$D$153,$B9,'PAIEMENTS &amp; COMMISSIONS'!$P$2:$P$153)</f>
        <v>5250</v>
      </c>
      <c r="E9" s="5">
        <f>SUMIFS('PAIEMENTS &amp; COMMISSIONS'!$P$2:$P$153,'PAIEMENTS &amp; COMMISSIONS'!$D$2:$D$153,$B9,'PAIEMENTS &amp; COMMISSIONS'!$K$2:$K$153,"Oui")</f>
        <v>0</v>
      </c>
      <c r="F9" s="5">
        <f t="shared" si="1"/>
        <v>5250</v>
      </c>
      <c r="G9" s="5">
        <f>COUNTIFS('PAIEMENTS &amp; COMMISSIONS'!$D$2:$D$153,$B9,'PAIEMENTS &amp; COMMISSIONS'!$L$2:$L$153,"En retard - a verser")</f>
        <v>0</v>
      </c>
    </row>
    <row r="10" ht="15.0" customHeight="1">
      <c r="B10" s="5" t="s">
        <v>274</v>
      </c>
      <c r="C10" s="5">
        <f>COUNTIF('PAIEMENTS &amp; COMMISSIONS'!$D$2:$D$153,$B10)</f>
        <v>14</v>
      </c>
      <c r="D10" s="5">
        <f>SUMIF('PAIEMENTS &amp; COMMISSIONS'!$D$2:$D$153,$B10,'PAIEMENTS &amp; COMMISSIONS'!$P$2:$P$153)</f>
        <v>10500</v>
      </c>
      <c r="E10" s="5">
        <f>SUMIFS('PAIEMENTS &amp; COMMISSIONS'!$P$2:$P$153,'PAIEMENTS &amp; COMMISSIONS'!$D$2:$D$153,$B10,'PAIEMENTS &amp; COMMISSIONS'!$K$2:$K$153,"Oui")</f>
        <v>0</v>
      </c>
      <c r="F10" s="5">
        <f t="shared" si="1"/>
        <v>10500</v>
      </c>
      <c r="G10" s="5">
        <f>COUNTIFS('PAIEMENTS &amp; COMMISSIONS'!$D$2:$D$153,$B10,'PAIEMENTS &amp; COMMISSIONS'!$L$2:$L$153,"En retard - a verser")</f>
        <v>12</v>
      </c>
    </row>
    <row r="11" ht="15.0" customHeight="1">
      <c r="B11" s="5" t="s">
        <v>196</v>
      </c>
      <c r="C11" s="5">
        <f>COUNTIF('PAIEMENTS &amp; COMMISSIONS'!$D$2:$D$153,$B11)</f>
        <v>15</v>
      </c>
      <c r="D11" s="5">
        <f>SUMIF('PAIEMENTS &amp; COMMISSIONS'!$D$2:$D$153,$B11,'PAIEMENTS &amp; COMMISSIONS'!$P$2:$P$153)</f>
        <v>11475</v>
      </c>
      <c r="E11" s="5">
        <f>SUMIFS('PAIEMENTS &amp; COMMISSIONS'!$P$2:$P$153,'PAIEMENTS &amp; COMMISSIONS'!$D$2:$D$153,$B11,'PAIEMENTS &amp; COMMISSIONS'!$K$2:$K$153,"Oui")</f>
        <v>0</v>
      </c>
      <c r="F11" s="5">
        <f t="shared" si="1"/>
        <v>11475</v>
      </c>
      <c r="G11" s="5">
        <f>COUNTIFS('PAIEMENTS &amp; COMMISSIONS'!$D$2:$D$153,$B11,'PAIEMENTS &amp; COMMISSIONS'!$L$2:$L$153,"En retard - a verser")</f>
        <v>3</v>
      </c>
    </row>
    <row r="12" ht="15.0" customHeight="1">
      <c r="B12" s="5" t="s">
        <v>76</v>
      </c>
      <c r="C12" s="5">
        <f>COUNTIF('PAIEMENTS &amp; COMMISSIONS'!$D$2:$D$153,$B12)</f>
        <v>15</v>
      </c>
      <c r="D12" s="5">
        <f>SUMIF('PAIEMENTS &amp; COMMISSIONS'!$D$2:$D$153,$B12,'PAIEMENTS &amp; COMMISSIONS'!$P$2:$P$153)</f>
        <v>11850</v>
      </c>
      <c r="E12" s="5">
        <f>SUMIFS('PAIEMENTS &amp; COMMISSIONS'!$P$2:$P$153,'PAIEMENTS &amp; COMMISSIONS'!$D$2:$D$153,$B12,'PAIEMENTS &amp; COMMISSIONS'!$K$2:$K$153,"Oui")</f>
        <v>0</v>
      </c>
      <c r="F12" s="5">
        <f t="shared" si="1"/>
        <v>11850</v>
      </c>
      <c r="G12" s="5">
        <f>COUNTIFS('PAIEMENTS &amp; COMMISSIONS'!$D$2:$D$153,$B12,'PAIEMENTS &amp; COMMISSIONS'!$L$2:$L$153,"En retard - a verser")</f>
        <v>12</v>
      </c>
    </row>
    <row r="13" ht="15.0" customHeight="1">
      <c r="B13" s="5" t="s">
        <v>306</v>
      </c>
      <c r="C13" s="5">
        <f>COUNTIF('PAIEMENTS &amp; COMMISSIONS'!$D$2:$D$153,$B13)</f>
        <v>2</v>
      </c>
      <c r="D13" s="5">
        <f>SUMIF('PAIEMENTS &amp; COMMISSIONS'!$D$2:$D$153,$B13,'PAIEMENTS &amp; COMMISSIONS'!$P$2:$P$153)</f>
        <v>1500</v>
      </c>
      <c r="E13" s="5">
        <f>SUMIFS('PAIEMENTS &amp; COMMISSIONS'!$P$2:$P$153,'PAIEMENTS &amp; COMMISSIONS'!$D$2:$D$153,$B13,'PAIEMENTS &amp; COMMISSIONS'!$K$2:$K$153,"Oui")</f>
        <v>0</v>
      </c>
      <c r="F13" s="5">
        <f t="shared" si="1"/>
        <v>1500</v>
      </c>
      <c r="G13" s="5">
        <f>COUNTIFS('PAIEMENTS &amp; COMMISSIONS'!$D$2:$D$153,$B13,'PAIEMENTS &amp; COMMISSIONS'!$L$2:$L$153,"En retard - a verser")</f>
        <v>0</v>
      </c>
    </row>
    <row r="14" ht="15.0" customHeight="1">
      <c r="B14" s="5" t="s">
        <v>130</v>
      </c>
      <c r="C14" s="5">
        <f>COUNTIF('PAIEMENTS &amp; COMMISSIONS'!$D$2:$D$153,$B14)</f>
        <v>40</v>
      </c>
      <c r="D14" s="5">
        <f>SUMIF('PAIEMENTS &amp; COMMISSIONS'!$D$2:$D$153,$B14,'PAIEMENTS &amp; COMMISSIONS'!$P$2:$P$153)</f>
        <v>28650</v>
      </c>
      <c r="E14" s="5">
        <f>SUMIFS('PAIEMENTS &amp; COMMISSIONS'!$P$2:$P$153,'PAIEMENTS &amp; COMMISSIONS'!$D$2:$D$153,$B14,'PAIEMENTS &amp; COMMISSIONS'!$K$2:$K$153,"Oui")</f>
        <v>0</v>
      </c>
      <c r="F14" s="5">
        <f t="shared" si="1"/>
        <v>28650</v>
      </c>
      <c r="G14" s="5">
        <f>COUNTIFS('PAIEMENTS &amp; COMMISSIONS'!$D$2:$D$153,$B14,'PAIEMENTS &amp; COMMISSIONS'!$L$2:$L$153,"En retard - a verser")</f>
        <v>17</v>
      </c>
    </row>
    <row r="15" ht="15.0" customHeight="1">
      <c r="B15" s="22" t="s">
        <v>450</v>
      </c>
      <c r="C15" s="23">
        <f t="shared" ref="C15:G15" si="2">SUM(C4:C14)</f>
        <v>148</v>
      </c>
      <c r="D15" s="23">
        <f t="shared" si="2"/>
        <v>106800</v>
      </c>
      <c r="E15" s="23">
        <f t="shared" si="2"/>
        <v>0</v>
      </c>
      <c r="F15" s="23">
        <f t="shared" si="2"/>
        <v>106800</v>
      </c>
      <c r="G15" s="23">
        <f t="shared" si="2"/>
        <v>56</v>
      </c>
    </row>
    <row r="16" ht="12.75" customHeight="1"/>
    <row r="17" ht="12.75" customHeight="1"/>
    <row r="18" ht="15.0" customHeight="1">
      <c r="B18" s="4" t="s">
        <v>451</v>
      </c>
    </row>
    <row r="19" ht="26.25" customHeight="1">
      <c r="B19" s="2" t="s">
        <v>452</v>
      </c>
      <c r="C19" s="2" t="s">
        <v>453</v>
      </c>
      <c r="D19" s="2" t="s">
        <v>454</v>
      </c>
      <c r="E19" s="2" t="s">
        <v>456</v>
      </c>
      <c r="F19" s="2" t="s">
        <v>458</v>
      </c>
      <c r="G19" s="2" t="s">
        <v>459</v>
      </c>
      <c r="H19" s="2" t="s">
        <v>460</v>
      </c>
    </row>
    <row r="20" ht="15.0" customHeight="1">
      <c r="B20" s="5" t="s">
        <v>461</v>
      </c>
      <c r="C20" s="5">
        <f>COUNTIFS('PAIEMENTS &amp; COMMISSIONS'!$M$2:$M$153,$B20,'PAIEMENTS &amp; COMMISSIONS'!$A$2:$A$153,"Proforma Institut")</f>
        <v>4</v>
      </c>
      <c r="D20" s="5">
        <f>SUMIFS('PAIEMENTS &amp; COMMISSIONS'!$O$2:$O$153,'PAIEMENTS &amp; COMMISSIONS'!$M$2:$M$153,$B20,'PAIEMENTS &amp; COMMISSIONS'!$A$2:$A$153,"Proforma Institut")</f>
        <v>6000</v>
      </c>
      <c r="E20" s="5">
        <f>COUNTIFS('PAIEMENTS &amp; COMMISSIONS'!$M$2:$M$153,$B20,'PAIEMENTS &amp; COMMISSIONS'!$A$2:$A$153,"Proskills Institut")</f>
        <v>0</v>
      </c>
      <c r="F20" s="5">
        <f>SUMIFS('PAIEMENTS &amp; COMMISSIONS'!$O$2:$O$153,'PAIEMENTS &amp; COMMISSIONS'!$M$2:$M$153,$B20,'PAIEMENTS &amp; COMMISSIONS'!$A$2:$A$153,"Proskills Institut")</f>
        <v>0</v>
      </c>
      <c r="G20" s="5">
        <f t="shared" ref="G20:H20" si="3">C20+E20</f>
        <v>4</v>
      </c>
      <c r="H20" s="5">
        <f t="shared" si="3"/>
        <v>6000</v>
      </c>
    </row>
    <row r="21" ht="15.0" customHeight="1">
      <c r="B21" s="5" t="s">
        <v>465</v>
      </c>
      <c r="C21" s="5">
        <f>COUNTIFS('PAIEMENTS &amp; COMMISSIONS'!$M$2:$M$153,$B21,'PAIEMENTS &amp; COMMISSIONS'!$A$2:$A$153,"Proforma Institut")</f>
        <v>13</v>
      </c>
      <c r="D21" s="5">
        <f>SUMIFS('PAIEMENTS &amp; COMMISSIONS'!$O$2:$O$153,'PAIEMENTS &amp; COMMISSIONS'!$M$2:$M$153,$B21,'PAIEMENTS &amp; COMMISSIONS'!$A$2:$A$153,"Proforma Institut")</f>
        <v>19500</v>
      </c>
      <c r="E21" s="5">
        <f>COUNTIFS('PAIEMENTS &amp; COMMISSIONS'!$M$2:$M$153,$B21,'PAIEMENTS &amp; COMMISSIONS'!$A$2:$A$153,"Proskills Institut")</f>
        <v>0</v>
      </c>
      <c r="F21" s="5">
        <f>SUMIFS('PAIEMENTS &amp; COMMISSIONS'!$O$2:$O$153,'PAIEMENTS &amp; COMMISSIONS'!$M$2:$M$153,$B21,'PAIEMENTS &amp; COMMISSIONS'!$A$2:$A$153,"Proskills Institut")</f>
        <v>0</v>
      </c>
      <c r="G21" s="5">
        <f t="shared" ref="G21:H21" si="4">C21+E21</f>
        <v>13</v>
      </c>
      <c r="H21" s="5">
        <f t="shared" si="4"/>
        <v>19500</v>
      </c>
    </row>
    <row r="22" ht="15.0" customHeight="1">
      <c r="B22" s="5" t="s">
        <v>466</v>
      </c>
      <c r="C22" s="5">
        <f>COUNTIFS('PAIEMENTS &amp; COMMISSIONS'!$M$2:$M$153,$B22,'PAIEMENTS &amp; COMMISSIONS'!$A$2:$A$153,"Proforma Institut")</f>
        <v>9</v>
      </c>
      <c r="D22" s="5">
        <f>SUMIFS('PAIEMENTS &amp; COMMISSIONS'!$O$2:$O$153,'PAIEMENTS &amp; COMMISSIONS'!$M$2:$M$153,$B22,'PAIEMENTS &amp; COMMISSIONS'!$A$2:$A$153,"Proforma Institut")</f>
        <v>13500</v>
      </c>
      <c r="E22" s="5">
        <f>COUNTIFS('PAIEMENTS &amp; COMMISSIONS'!$M$2:$M$153,$B22,'PAIEMENTS &amp; COMMISSIONS'!$A$2:$A$153,"Proskills Institut")</f>
        <v>3</v>
      </c>
      <c r="F22" s="5">
        <f>SUMIFS('PAIEMENTS &amp; COMMISSIONS'!$O$2:$O$153,'PAIEMENTS &amp; COMMISSIONS'!$M$2:$M$153,$B22,'PAIEMENTS &amp; COMMISSIONS'!$A$2:$A$153,"Proskills Institut")</f>
        <v>4500</v>
      </c>
      <c r="G22" s="5">
        <f t="shared" ref="G22:H22" si="5">C22+E22</f>
        <v>12</v>
      </c>
      <c r="H22" s="5">
        <f t="shared" si="5"/>
        <v>18000</v>
      </c>
    </row>
    <row r="23" ht="15.0" customHeight="1">
      <c r="B23" s="5" t="s">
        <v>471</v>
      </c>
      <c r="C23" s="5">
        <f>COUNTIFS('PAIEMENTS &amp; COMMISSIONS'!$M$2:$M$153,$B23,'PAIEMENTS &amp; COMMISSIONS'!$A$2:$A$153,"Proforma Institut")</f>
        <v>9</v>
      </c>
      <c r="D23" s="5">
        <f>SUMIFS('PAIEMENTS &amp; COMMISSIONS'!$O$2:$O$153,'PAIEMENTS &amp; COMMISSIONS'!$M$2:$M$153,$B23,'PAIEMENTS &amp; COMMISSIONS'!$A$2:$A$153,"Proforma Institut")</f>
        <v>13500</v>
      </c>
      <c r="E23" s="5">
        <f>COUNTIFS('PAIEMENTS &amp; COMMISSIONS'!$M$2:$M$153,$B23,'PAIEMENTS &amp; COMMISSIONS'!$A$2:$A$153,"Proskills Institut")</f>
        <v>29</v>
      </c>
      <c r="F23" s="5">
        <f>SUMIFS('PAIEMENTS &amp; COMMISSIONS'!$O$2:$O$153,'PAIEMENTS &amp; COMMISSIONS'!$M$2:$M$153,$B23,'PAIEMENTS &amp; COMMISSIONS'!$A$2:$A$153,"Proskills Institut")</f>
        <v>43500</v>
      </c>
      <c r="G23" s="5">
        <f t="shared" ref="G23:H23" si="6">C23+E23</f>
        <v>38</v>
      </c>
      <c r="H23" s="5">
        <f t="shared" si="6"/>
        <v>57000</v>
      </c>
    </row>
    <row r="24" ht="15.0" customHeight="1">
      <c r="B24" s="5" t="s">
        <v>476</v>
      </c>
      <c r="C24" s="5">
        <f>COUNTIFS('PAIEMENTS &amp; COMMISSIONS'!$M$2:$M$153,$B24,'PAIEMENTS &amp; COMMISSIONS'!$A$2:$A$153,"Proforma Institut")</f>
        <v>26</v>
      </c>
      <c r="D24" s="5">
        <f>SUMIFS('PAIEMENTS &amp; COMMISSIONS'!$O$2:$O$153,'PAIEMENTS &amp; COMMISSIONS'!$M$2:$M$153,$B24,'PAIEMENTS &amp; COMMISSIONS'!$A$2:$A$153,"Proforma Institut")</f>
        <v>39000</v>
      </c>
      <c r="E24" s="5">
        <f>COUNTIFS('PAIEMENTS &amp; COMMISSIONS'!$M$2:$M$153,$B24,'PAIEMENTS &amp; COMMISSIONS'!$A$2:$A$153,"Proskills Institut")</f>
        <v>19</v>
      </c>
      <c r="F24" s="5">
        <f>SUMIFS('PAIEMENTS &amp; COMMISSIONS'!$O$2:$O$153,'PAIEMENTS &amp; COMMISSIONS'!$M$2:$M$153,$B24,'PAIEMENTS &amp; COMMISSIONS'!$A$2:$A$153,"Proskills Institut")</f>
        <v>28500</v>
      </c>
      <c r="G24" s="5">
        <f t="shared" ref="G24:H24" si="7">C24+E24</f>
        <v>45</v>
      </c>
      <c r="H24" s="5">
        <f t="shared" si="7"/>
        <v>67500</v>
      </c>
    </row>
    <row r="25" ht="15.0" customHeight="1">
      <c r="B25" s="5" t="s">
        <v>477</v>
      </c>
      <c r="C25" s="5">
        <f>COUNTIFS('PAIEMENTS &amp; COMMISSIONS'!$M$2:$M$153,$B25,'PAIEMENTS &amp; COMMISSIONS'!$A$2:$A$153,"Proforma Institut")</f>
        <v>19</v>
      </c>
      <c r="D25" s="5">
        <f>SUMIFS('PAIEMENTS &amp; COMMISSIONS'!$O$2:$O$153,'PAIEMENTS &amp; COMMISSIONS'!$M$2:$M$153,$B25,'PAIEMENTS &amp; COMMISSIONS'!$A$2:$A$153,"Proforma Institut")</f>
        <v>24000</v>
      </c>
      <c r="E25" s="5">
        <f>COUNTIFS('PAIEMENTS &amp; COMMISSIONS'!$M$2:$M$153,$B25,'PAIEMENTS &amp; COMMISSIONS'!$A$2:$A$153,"Proskills Institut")</f>
        <v>17</v>
      </c>
      <c r="F25" s="5">
        <f>SUMIFS('PAIEMENTS &amp; COMMISSIONS'!$O$2:$O$153,'PAIEMENTS &amp; COMMISSIONS'!$M$2:$M$153,$B25,'PAIEMENTS &amp; COMMISSIONS'!$A$2:$A$153,"Proskills Institut")</f>
        <v>18000</v>
      </c>
      <c r="G25" s="5">
        <f t="shared" ref="G25:H25" si="8">C25+E25</f>
        <v>36</v>
      </c>
      <c r="H25" s="5">
        <f t="shared" si="8"/>
        <v>42000</v>
      </c>
    </row>
    <row r="26" ht="15.0" customHeight="1">
      <c r="B26" s="22" t="s">
        <v>450</v>
      </c>
      <c r="C26" s="23">
        <f t="shared" ref="C26:H26" si="9">SUM(C20:C25)</f>
        <v>80</v>
      </c>
      <c r="D26" s="23">
        <f t="shared" si="9"/>
        <v>115500</v>
      </c>
      <c r="E26" s="23">
        <f t="shared" si="9"/>
        <v>68</v>
      </c>
      <c r="F26" s="23">
        <f t="shared" si="9"/>
        <v>94500</v>
      </c>
      <c r="G26" s="23">
        <f t="shared" si="9"/>
        <v>148</v>
      </c>
      <c r="H26" s="23">
        <f t="shared" si="9"/>
        <v>210000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2026-07-15T14:20:07Z</dcterms:created>
  <dc:creator>openpyxl</dc:creator>
</cp:coreProperties>
</file>